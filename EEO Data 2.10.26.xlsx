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-NY\Desktop\SUNY LeChase\Q4 Oct - December 2025\"/>
    </mc:Choice>
  </mc:AlternateContent>
  <xr:revisionPtr revIDLastSave="0" documentId="13_ncr:1_{BA6DA047-1A3D-4047-9EB0-544AFFA27850}" xr6:coauthVersionLast="47" xr6:coauthVersionMax="47" xr10:uidLastSave="{00000000-0000-0000-0000-000000000000}"/>
  <bookViews>
    <workbookView xWindow="-108" yWindow="-108" windowWidth="23256" windowHeight="12456" activeTab="2" xr2:uid="{0508AB9E-09D5-41D5-9328-B9CF83AE1D5A}"/>
  </bookViews>
  <sheets>
    <sheet name="Employees by Gender" sheetId="32" r:id="rId1"/>
    <sheet name="Hours Worked by Gender" sheetId="20" r:id="rId2"/>
    <sheet name="2025 Contractor" sheetId="34" r:id="rId3"/>
    <sheet name="Contractor" sheetId="22" r:id="rId4"/>
    <sheet name="Data" sheetId="11" r:id="rId5"/>
  </sheets>
  <externalReferences>
    <externalReference r:id="rId6"/>
  </externalReferences>
  <definedNames>
    <definedName name="majortitles">[1]Titles!$A$2:$V$2</definedName>
    <definedName name="_xlnm.Print_Area" localSheetId="2">'2025 Contractor'!$A$1:$L$64</definedName>
    <definedName name="_xlnm.Print_Area" localSheetId="3">Contractor!$A$1:$L$92</definedName>
    <definedName name="_xlnm.Print_Area" localSheetId="0">'Employees by Gender'!$A$1:$M$165</definedName>
    <definedName name="_xlnm.Print_Area" localSheetId="1">'Hours Worked by Gender'!$A$1:$L$164</definedName>
    <definedName name="_xlnm.Print_Titles" localSheetId="2">'2025 Contractor'!$3:$7</definedName>
    <definedName name="_xlnm.Print_Titles" localSheetId="3">Contractor!$1:$5</definedName>
    <definedName name="_xlnm.Print_Titles" localSheetId="0">'Employees by Gender'!$1:$5</definedName>
    <definedName name="_xlnm.Print_Titles" localSheetId="1">'Hours Worked by Gender'!$1:$5</definedName>
  </definedNames>
  <calcPr calcId="191028"/>
  <pivotCaches>
    <pivotCache cacheId="26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37" i="11" l="1"/>
  <c r="N736" i="11"/>
  <c r="N714" i="11"/>
  <c r="N715" i="11"/>
  <c r="N733" i="11"/>
  <c r="N734" i="11"/>
  <c r="N735" i="11"/>
  <c r="N732" i="11"/>
  <c r="N716" i="11"/>
  <c r="N717" i="11"/>
  <c r="N718" i="11"/>
  <c r="N675" i="11"/>
  <c r="N704" i="11"/>
  <c r="N658" i="11"/>
  <c r="N720" i="11"/>
  <c r="N741" i="11"/>
  <c r="N742" i="11"/>
  <c r="N740" i="11"/>
  <c r="N738" i="11"/>
  <c r="N731" i="11"/>
  <c r="N739" i="11"/>
  <c r="N730" i="11"/>
  <c r="N701" i="11"/>
  <c r="N702" i="11"/>
  <c r="N670" i="11"/>
  <c r="N698" i="11"/>
  <c r="N758" i="11"/>
  <c r="N699" i="11"/>
  <c r="N729" i="11"/>
  <c r="N697" i="11"/>
  <c r="N640" i="11"/>
  <c r="N607" i="11"/>
  <c r="N574" i="11"/>
  <c r="N706" i="11"/>
  <c r="N678" i="11"/>
  <c r="N728" i="11"/>
  <c r="N700" i="11"/>
  <c r="N671" i="11"/>
  <c r="N727" i="11"/>
  <c r="N696" i="11"/>
  <c r="N693" i="11"/>
  <c r="N724" i="11"/>
  <c r="N694" i="11"/>
  <c r="N695" i="11"/>
  <c r="N725" i="11"/>
  <c r="N726" i="11"/>
  <c r="N756" i="11"/>
  <c r="N757" i="11"/>
  <c r="N692" i="11"/>
  <c r="N721" i="11"/>
  <c r="N722" i="11"/>
  <c r="N723" i="11"/>
  <c r="N750" i="11"/>
  <c r="N751" i="11"/>
  <c r="N752" i="11"/>
  <c r="N686" i="11"/>
  <c r="N687" i="11"/>
  <c r="N688" i="11"/>
  <c r="N754" i="11"/>
  <c r="N755" i="11"/>
  <c r="N690" i="11"/>
  <c r="N691" i="11"/>
  <c r="N712" i="11"/>
  <c r="N713" i="11"/>
  <c r="N683" i="11"/>
  <c r="N684" i="11"/>
  <c r="N685" i="11"/>
  <c r="N748" i="11"/>
  <c r="N749" i="11"/>
  <c r="N719" i="11"/>
  <c r="N689" i="11"/>
  <c r="N753" i="11"/>
  <c r="N682" i="11"/>
  <c r="N711" i="11"/>
  <c r="N679" i="11"/>
  <c r="N680" i="11"/>
  <c r="N707" i="11"/>
  <c r="N708" i="11"/>
  <c r="N681" i="11"/>
  <c r="N709" i="11"/>
  <c r="N746" i="11"/>
  <c r="N747" i="11"/>
  <c r="N710" i="11"/>
  <c r="N705" i="11"/>
  <c r="N745" i="11"/>
  <c r="N625" i="11"/>
  <c r="N626" i="11"/>
  <c r="N627" i="11"/>
  <c r="N669" i="11"/>
  <c r="N674" i="11"/>
  <c r="N703" i="11"/>
  <c r="N743" i="11"/>
  <c r="N744" i="11"/>
  <c r="N676" i="11"/>
  <c r="N677" i="11"/>
  <c r="N668" i="11"/>
  <c r="N659" i="11"/>
  <c r="N660" i="11"/>
  <c r="N661" i="11"/>
  <c r="N597" i="11"/>
  <c r="N598" i="11"/>
  <c r="N599" i="11"/>
  <c r="N586" i="11"/>
  <c r="N672" i="11"/>
  <c r="N673" i="11"/>
  <c r="N608" i="11"/>
  <c r="N609" i="11"/>
  <c r="N643" i="11"/>
  <c r="N614" i="11"/>
  <c r="N644" i="11"/>
  <c r="N645" i="11"/>
  <c r="N615" i="11"/>
  <c r="N507" i="11"/>
  <c r="N591" i="11"/>
  <c r="N612" i="11"/>
  <c r="N613" i="11"/>
  <c r="N642" i="11"/>
  <c r="N653" i="11"/>
  <c r="N667" i="11"/>
  <c r="N611" i="11"/>
  <c r="N649" i="11"/>
  <c r="N635" i="11"/>
  <c r="N636" i="11"/>
  <c r="N604" i="11"/>
  <c r="N665" i="11"/>
  <c r="N641" i="11"/>
  <c r="N610" i="11"/>
  <c r="N624" i="11"/>
  <c r="N637" i="11"/>
  <c r="N638" i="11"/>
  <c r="N639" i="11"/>
  <c r="N606" i="11"/>
  <c r="N666" i="11"/>
  <c r="N587" i="11"/>
  <c r="N620" i="11"/>
  <c r="N664" i="11"/>
  <c r="N605" i="11"/>
  <c r="N571" i="11"/>
  <c r="N572" i="11"/>
  <c r="N656" i="11"/>
  <c r="N592" i="11"/>
  <c r="N593" i="11"/>
  <c r="N594" i="11"/>
  <c r="N600" i="11"/>
  <c r="N632" i="11"/>
  <c r="N601" i="11"/>
  <c r="N662" i="11"/>
  <c r="N633" i="11"/>
  <c r="N634" i="11"/>
  <c r="N602" i="11"/>
  <c r="N603" i="11"/>
  <c r="N663" i="11"/>
  <c r="N628" i="11"/>
  <c r="N629" i="11"/>
  <c r="N596" i="11"/>
  <c r="N585" i="11"/>
  <c r="N630" i="11"/>
  <c r="N631" i="11"/>
  <c r="N654" i="11"/>
  <c r="N655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83" i="11"/>
  <c r="N484" i="11"/>
  <c r="N485" i="11"/>
  <c r="N486" i="11"/>
  <c r="N487" i="11"/>
  <c r="N488" i="11"/>
  <c r="N543" i="11"/>
  <c r="N544" i="11"/>
  <c r="N545" i="11"/>
  <c r="N546" i="11"/>
  <c r="N547" i="11"/>
  <c r="N548" i="11"/>
  <c r="N549" i="11"/>
  <c r="N573" i="11"/>
  <c r="N575" i="11"/>
  <c r="N576" i="11"/>
  <c r="N577" i="11"/>
  <c r="N578" i="11"/>
  <c r="N579" i="11"/>
  <c r="N650" i="11"/>
  <c r="N651" i="11"/>
  <c r="N657" i="11"/>
  <c r="N588" i="11"/>
  <c r="N589" i="11"/>
  <c r="N590" i="11"/>
  <c r="N623" i="11"/>
  <c r="N652" i="11"/>
  <c r="N595" i="11"/>
  <c r="N647" i="11"/>
  <c r="N648" i="11"/>
  <c r="N621" i="11"/>
  <c r="N622" i="11"/>
  <c r="N617" i="11"/>
  <c r="N618" i="11"/>
  <c r="N646" i="11"/>
  <c r="N619" i="11"/>
  <c r="N584" i="11"/>
  <c r="N616" i="11"/>
  <c r="N133" i="11"/>
  <c r="N134" i="11"/>
  <c r="N135" i="11"/>
  <c r="N136" i="11"/>
  <c r="N137" i="11"/>
  <c r="N190" i="11"/>
  <c r="N191" i="11"/>
  <c r="N192" i="11"/>
  <c r="N121" i="11"/>
  <c r="N122" i="11"/>
  <c r="N123" i="11"/>
  <c r="N105" i="11"/>
  <c r="N106" i="11"/>
  <c r="N107" i="11"/>
  <c r="N108" i="11"/>
  <c r="N8" i="11"/>
  <c r="N9" i="11"/>
  <c r="N10" i="11"/>
  <c r="N209" i="11"/>
  <c r="N210" i="11"/>
  <c r="N211" i="11"/>
  <c r="N212" i="11"/>
  <c r="N188" i="11"/>
  <c r="N189" i="11"/>
  <c r="N377" i="11"/>
  <c r="N378" i="11"/>
  <c r="N379" i="11"/>
  <c r="N380" i="11"/>
  <c r="N381" i="11"/>
  <c r="N149" i="11"/>
  <c r="N150" i="11"/>
  <c r="N151" i="11"/>
  <c r="N152" i="11"/>
  <c r="N153" i="11"/>
  <c r="N154" i="11"/>
  <c r="N227" i="11"/>
  <c r="N228" i="11"/>
  <c r="N229" i="11"/>
  <c r="N230" i="11"/>
  <c r="N231" i="11"/>
  <c r="N86" i="11"/>
  <c r="N87" i="11"/>
  <c r="N88" i="11"/>
  <c r="N89" i="11"/>
  <c r="N90" i="11"/>
  <c r="N581" i="11"/>
  <c r="N20" i="11"/>
  <c r="N19" i="11"/>
  <c r="N21" i="11"/>
  <c r="N580" i="11"/>
  <c r="N540" i="11"/>
  <c r="N541" i="11"/>
  <c r="N542" i="11"/>
  <c r="N508" i="11"/>
  <c r="N509" i="11"/>
  <c r="N510" i="11"/>
  <c r="N536" i="11"/>
  <c r="N537" i="11"/>
  <c r="N538" i="11"/>
  <c r="N521" i="11"/>
  <c r="N522" i="11"/>
  <c r="N557" i="11"/>
  <c r="N556" i="11"/>
  <c r="N582" i="11"/>
  <c r="N583" i="11"/>
  <c r="N539" i="11"/>
  <c r="N516" i="11"/>
  <c r="N552" i="11"/>
  <c r="N570" i="11"/>
  <c r="N535" i="11"/>
  <c r="N533" i="11"/>
  <c r="N534" i="11"/>
  <c r="N568" i="11"/>
  <c r="N569" i="11"/>
  <c r="N532" i="11"/>
  <c r="N567" i="11"/>
  <c r="N566" i="11"/>
  <c r="N531" i="11"/>
  <c r="N440" i="11"/>
  <c r="N441" i="11"/>
  <c r="N442" i="11"/>
  <c r="N220" i="11"/>
  <c r="N241" i="11"/>
  <c r="N242" i="11"/>
  <c r="N261" i="11"/>
  <c r="N262" i="11"/>
  <c r="N313" i="11"/>
  <c r="N314" i="11"/>
  <c r="N315" i="11"/>
  <c r="N523" i="11"/>
  <c r="N524" i="11"/>
  <c r="N525" i="11"/>
  <c r="N163" i="11"/>
  <c r="N469" i="11"/>
  <c r="N470" i="11"/>
  <c r="N471" i="11"/>
  <c r="N128" i="11"/>
  <c r="N558" i="11"/>
  <c r="N559" i="11"/>
  <c r="N560" i="11"/>
  <c r="N182" i="11"/>
  <c r="N564" i="11"/>
  <c r="N565" i="11"/>
  <c r="N562" i="11"/>
  <c r="N561" i="11"/>
  <c r="N563" i="11"/>
  <c r="N555" i="11"/>
  <c r="N554" i="11"/>
  <c r="N553" i="11"/>
  <c r="N519" i="11"/>
  <c r="N518" i="11"/>
  <c r="N517" i="11"/>
  <c r="N494" i="11"/>
  <c r="N493" i="11"/>
  <c r="N492" i="11"/>
  <c r="N551" i="11"/>
  <c r="N550" i="11"/>
  <c r="N109" i="11"/>
  <c r="N176" i="11"/>
  <c r="N177" i="11"/>
  <c r="N287" i="11"/>
  <c r="N285" i="11"/>
  <c r="N286" i="11"/>
  <c r="N288" i="11"/>
  <c r="N289" i="11"/>
  <c r="N290" i="11"/>
  <c r="N389" i="11"/>
  <c r="N390" i="11"/>
  <c r="N427" i="11"/>
  <c r="N426" i="11"/>
  <c r="N11" i="11"/>
  <c r="N12" i="11"/>
  <c r="N490" i="11"/>
  <c r="N515" i="11"/>
  <c r="N157" i="11"/>
  <c r="N178" i="11"/>
  <c r="N217" i="11"/>
  <c r="N218" i="11"/>
  <c r="N236" i="11"/>
  <c r="N237" i="11"/>
  <c r="N257" i="11"/>
  <c r="N258" i="11"/>
  <c r="N291" i="11"/>
  <c r="N292" i="11"/>
  <c r="N341" i="11"/>
  <c r="N342" i="11"/>
  <c r="N391" i="11"/>
  <c r="N428" i="11"/>
  <c r="N462" i="11"/>
  <c r="N491" i="11"/>
  <c r="N110" i="11"/>
  <c r="N111" i="11"/>
  <c r="N124" i="11"/>
  <c r="N125" i="11"/>
  <c r="N138" i="11"/>
  <c r="N139" i="11"/>
  <c r="N158" i="11"/>
  <c r="N159" i="11"/>
  <c r="N179" i="11"/>
  <c r="N198" i="11"/>
  <c r="N199" i="11"/>
  <c r="N200" i="11"/>
  <c r="N201" i="11"/>
  <c r="N295" i="11"/>
  <c r="N296" i="11"/>
  <c r="N294" i="11"/>
  <c r="N293" i="11"/>
  <c r="N297" i="11"/>
  <c r="N298" i="11"/>
  <c r="N299" i="11"/>
  <c r="N300" i="11"/>
  <c r="N345" i="11"/>
  <c r="N346" i="11"/>
  <c r="N344" i="11"/>
  <c r="N343" i="11"/>
  <c r="N347" i="11"/>
  <c r="N348" i="11"/>
  <c r="N349" i="11"/>
  <c r="N350" i="11"/>
  <c r="N395" i="11"/>
  <c r="N394" i="11"/>
  <c r="N393" i="11"/>
  <c r="N392" i="11"/>
  <c r="N432" i="11"/>
  <c r="N430" i="11"/>
  <c r="N431" i="11"/>
  <c r="N429" i="11"/>
  <c r="N2" i="11"/>
  <c r="N3" i="11"/>
  <c r="N22" i="11"/>
  <c r="N23" i="11"/>
  <c r="N34" i="11"/>
  <c r="N35" i="11"/>
  <c r="N56" i="11"/>
  <c r="N69" i="11"/>
  <c r="N93" i="11"/>
  <c r="N94" i="11"/>
  <c r="N112" i="11"/>
  <c r="N126" i="11"/>
  <c r="N160" i="11"/>
  <c r="N180" i="11"/>
  <c r="N202" i="11"/>
  <c r="N302" i="11"/>
  <c r="N301" i="11"/>
  <c r="N303" i="11"/>
  <c r="N352" i="11"/>
  <c r="N351" i="11"/>
  <c r="N353" i="11"/>
  <c r="N397" i="11"/>
  <c r="N396" i="11"/>
  <c r="N434" i="11"/>
  <c r="N433" i="11"/>
  <c r="N464" i="11"/>
  <c r="N463" i="11"/>
  <c r="N95" i="11"/>
  <c r="N113" i="11"/>
  <c r="N140" i="11"/>
  <c r="N141" i="11"/>
  <c r="N142" i="11"/>
  <c r="N161" i="11"/>
  <c r="N203" i="11"/>
  <c r="N238" i="11"/>
  <c r="N259" i="11"/>
  <c r="N304" i="11"/>
  <c r="N399" i="11"/>
  <c r="N398" i="11"/>
  <c r="N437" i="11"/>
  <c r="N436" i="11"/>
  <c r="N435" i="11"/>
  <c r="N465" i="11"/>
  <c r="N466" i="11"/>
  <c r="N239" i="11"/>
  <c r="N260" i="11"/>
  <c r="N305" i="11"/>
  <c r="N354" i="11"/>
  <c r="N400" i="11"/>
  <c r="N438" i="11"/>
  <c r="N5" i="11"/>
  <c r="N4" i="11"/>
  <c r="N6" i="11"/>
  <c r="N7" i="11"/>
  <c r="N13" i="11"/>
  <c r="N14" i="11"/>
  <c r="N38" i="11"/>
  <c r="N37" i="11"/>
  <c r="N36" i="11"/>
  <c r="N39" i="11"/>
  <c r="N40" i="11"/>
  <c r="N41" i="11"/>
  <c r="N72" i="11"/>
  <c r="N70" i="11"/>
  <c r="N71" i="11"/>
  <c r="N73" i="11"/>
  <c r="N74" i="11"/>
  <c r="N75" i="11"/>
  <c r="N96" i="11"/>
  <c r="N114" i="11"/>
  <c r="N127" i="11"/>
  <c r="N143" i="11"/>
  <c r="N162" i="11"/>
  <c r="N181" i="11"/>
  <c r="N204" i="11"/>
  <c r="N205" i="11"/>
  <c r="N307" i="11"/>
  <c r="N308" i="11"/>
  <c r="N306" i="11"/>
  <c r="N309" i="11"/>
  <c r="N310" i="11"/>
  <c r="N311" i="11"/>
  <c r="N355" i="11"/>
  <c r="N356" i="11"/>
  <c r="N401" i="11"/>
  <c r="N439" i="11"/>
  <c r="N467" i="11"/>
  <c r="N495" i="11"/>
  <c r="N520" i="11"/>
  <c r="N496" i="11"/>
  <c r="N206" i="11"/>
  <c r="N219" i="11"/>
  <c r="N240" i="11"/>
  <c r="N312" i="11"/>
  <c r="N357" i="11"/>
  <c r="N468" i="11"/>
  <c r="N144" i="11"/>
  <c r="N499" i="11"/>
  <c r="N497" i="11"/>
  <c r="N498" i="11"/>
  <c r="N361" i="11"/>
  <c r="N359" i="11"/>
  <c r="N358" i="11"/>
  <c r="N360" i="11"/>
  <c r="N115" i="11"/>
  <c r="N97" i="11"/>
  <c r="N402" i="11"/>
  <c r="N403" i="11"/>
  <c r="N207" i="11"/>
  <c r="N317" i="11"/>
  <c r="N316" i="11"/>
  <c r="N407" i="11"/>
  <c r="N406" i="11"/>
  <c r="N405" i="11"/>
  <c r="N404" i="11"/>
  <c r="N444" i="11"/>
  <c r="N443" i="11"/>
  <c r="N474" i="11"/>
  <c r="N472" i="11"/>
  <c r="N473" i="11"/>
  <c r="N500" i="11"/>
  <c r="N527" i="11"/>
  <c r="N528" i="11"/>
  <c r="N526" i="11"/>
  <c r="N42" i="11"/>
  <c r="N43" i="11"/>
  <c r="N98" i="11"/>
  <c r="N362" i="11"/>
  <c r="N363" i="11"/>
  <c r="N475" i="11"/>
  <c r="N365" i="11"/>
  <c r="N364" i="11"/>
  <c r="N409" i="11"/>
  <c r="N408" i="11"/>
  <c r="N446" i="11"/>
  <c r="N445" i="11"/>
  <c r="N476" i="11"/>
  <c r="N530" i="11"/>
  <c r="N529" i="11"/>
  <c r="N501" i="11"/>
  <c r="N77" i="11"/>
  <c r="N76" i="11"/>
  <c r="N100" i="11"/>
  <c r="N99" i="11"/>
  <c r="N116" i="11"/>
  <c r="N129" i="11"/>
  <c r="N145" i="11"/>
  <c r="N165" i="11"/>
  <c r="N164" i="11"/>
  <c r="N183" i="11"/>
  <c r="N208" i="11"/>
  <c r="N221" i="11"/>
  <c r="N243" i="11"/>
  <c r="N263" i="11"/>
  <c r="N318" i="11"/>
  <c r="N319" i="11"/>
  <c r="N366" i="11"/>
  <c r="N447" i="11"/>
  <c r="N477" i="11"/>
  <c r="N502" i="11"/>
  <c r="N24" i="11"/>
  <c r="N44" i="11"/>
  <c r="N57" i="11"/>
  <c r="N79" i="11"/>
  <c r="N78" i="11"/>
  <c r="N80" i="11"/>
  <c r="N81" i="11"/>
  <c r="N101" i="11"/>
  <c r="N102" i="11"/>
  <c r="N117" i="11"/>
  <c r="N118" i="11"/>
  <c r="N130" i="11"/>
  <c r="N146" i="11"/>
  <c r="N184" i="11"/>
  <c r="N222" i="11"/>
  <c r="N244" i="11"/>
  <c r="N264" i="11"/>
  <c r="N367" i="11"/>
  <c r="N410" i="11"/>
  <c r="N448" i="11"/>
  <c r="N503" i="11"/>
  <c r="N16" i="11"/>
  <c r="N15" i="11"/>
  <c r="N17" i="11"/>
  <c r="N18" i="11"/>
  <c r="N26" i="11"/>
  <c r="N25" i="11"/>
  <c r="N27" i="11"/>
  <c r="N28" i="11"/>
  <c r="N46" i="11"/>
  <c r="N45" i="11"/>
  <c r="N47" i="11"/>
  <c r="N48" i="11"/>
  <c r="N59" i="11"/>
  <c r="N58" i="11"/>
  <c r="N60" i="11"/>
  <c r="N61" i="11"/>
  <c r="N83" i="11"/>
  <c r="N82" i="11"/>
  <c r="N84" i="11"/>
  <c r="N85" i="11"/>
  <c r="N103" i="11"/>
  <c r="N119" i="11"/>
  <c r="N131" i="11"/>
  <c r="N147" i="11"/>
  <c r="N166" i="11"/>
  <c r="N185" i="11"/>
  <c r="N223" i="11"/>
  <c r="N224" i="11"/>
  <c r="N245" i="11"/>
  <c r="N246" i="11"/>
  <c r="N265" i="11"/>
  <c r="N266" i="11"/>
  <c r="N320" i="11"/>
  <c r="N321" i="11"/>
  <c r="N368" i="11"/>
  <c r="N369" i="11"/>
  <c r="N411" i="11"/>
  <c r="N449" i="11"/>
  <c r="N478" i="11"/>
  <c r="N504" i="11"/>
  <c r="N104" i="11"/>
  <c r="N120" i="11"/>
  <c r="N132" i="11"/>
  <c r="N148" i="11"/>
  <c r="N186" i="11"/>
  <c r="N322" i="11"/>
  <c r="N323" i="11"/>
  <c r="N370" i="11"/>
  <c r="N371" i="11"/>
  <c r="N450" i="11"/>
  <c r="N479" i="11"/>
  <c r="N325" i="11"/>
  <c r="N324" i="11"/>
  <c r="N326" i="11"/>
  <c r="N327" i="11"/>
  <c r="N372" i="11"/>
  <c r="N373" i="11"/>
  <c r="N451" i="11"/>
  <c r="N452" i="11"/>
  <c r="N187" i="11"/>
  <c r="N225" i="11"/>
  <c r="N226" i="11"/>
  <c r="N247" i="11"/>
  <c r="N248" i="11"/>
  <c r="N267" i="11"/>
  <c r="N268" i="11"/>
  <c r="N328" i="11"/>
  <c r="N329" i="11"/>
  <c r="N374" i="11"/>
  <c r="N375" i="11"/>
  <c r="N453" i="11"/>
  <c r="N480" i="11"/>
  <c r="N506" i="11"/>
  <c r="N505" i="11"/>
  <c r="N376" i="11"/>
  <c r="N456" i="11"/>
  <c r="N455" i="11"/>
  <c r="N454" i="11"/>
  <c r="N482" i="11"/>
  <c r="N481" i="11"/>
  <c r="N66" i="11"/>
  <c r="N65" i="11"/>
  <c r="N64" i="11"/>
  <c r="N63" i="11"/>
  <c r="N62" i="11"/>
  <c r="N52" i="11"/>
  <c r="N53" i="11"/>
  <c r="N51" i="11"/>
  <c r="N50" i="11"/>
  <c r="N49" i="11"/>
  <c r="N32" i="11"/>
  <c r="N33" i="11"/>
  <c r="N31" i="11"/>
  <c r="N29" i="11"/>
  <c r="N30" i="11"/>
  <c r="N252" i="11"/>
  <c r="N253" i="11"/>
  <c r="N249" i="11"/>
  <c r="N251" i="11"/>
  <c r="N250" i="11"/>
  <c r="N272" i="11"/>
  <c r="N273" i="11"/>
  <c r="N269" i="11"/>
  <c r="N271" i="11"/>
  <c r="N270" i="11"/>
  <c r="N331" i="11"/>
  <c r="N333" i="11"/>
  <c r="N330" i="11"/>
  <c r="N332" i="11"/>
  <c r="N156" i="11"/>
  <c r="N155" i="11"/>
  <c r="N174" i="11"/>
  <c r="N173" i="11"/>
  <c r="N172" i="11"/>
  <c r="N195" i="11"/>
  <c r="N194" i="11"/>
  <c r="N193" i="11"/>
  <c r="N216" i="11"/>
  <c r="N215" i="11"/>
  <c r="N213" i="11"/>
  <c r="N214" i="11"/>
  <c r="N232" i="11"/>
  <c r="N233" i="11"/>
  <c r="N234" i="11"/>
  <c r="N235" i="11"/>
  <c r="N255" i="11"/>
  <c r="N256" i="11"/>
  <c r="N254" i="11"/>
  <c r="N274" i="11"/>
  <c r="N276" i="11"/>
  <c r="N275" i="11"/>
  <c r="N335" i="11"/>
  <c r="N336" i="11"/>
  <c r="N334" i="11"/>
  <c r="N383" i="11"/>
  <c r="N384" i="11"/>
  <c r="N382" i="11"/>
  <c r="N457" i="11"/>
  <c r="N458" i="11"/>
  <c r="N459" i="11"/>
  <c r="N511" i="11"/>
  <c r="N512" i="11"/>
  <c r="N513" i="11"/>
  <c r="N54" i="11"/>
  <c r="N55" i="11"/>
  <c r="N67" i="11"/>
  <c r="N68" i="11"/>
  <c r="N91" i="11"/>
  <c r="N92" i="11"/>
  <c r="N175" i="11"/>
  <c r="N277" i="11"/>
  <c r="N278" i="11"/>
  <c r="N385" i="11"/>
  <c r="N196" i="11"/>
  <c r="N197" i="11"/>
  <c r="N281" i="11"/>
  <c r="N279" i="11"/>
  <c r="N280" i="11"/>
  <c r="N282" i="11"/>
  <c r="N283" i="11"/>
  <c r="N284" i="11"/>
  <c r="N338" i="11"/>
  <c r="N337" i="11"/>
  <c r="N339" i="11"/>
  <c r="N340" i="11"/>
  <c r="N388" i="11"/>
  <c r="N387" i="11"/>
  <c r="N386" i="11"/>
  <c r="N461" i="11"/>
  <c r="N460" i="11"/>
  <c r="N489" i="11"/>
  <c r="N514" i="11"/>
</calcChain>
</file>

<file path=xl/sharedStrings.xml><?xml version="1.0" encoding="utf-8"?>
<sst xmlns="http://schemas.openxmlformats.org/spreadsheetml/2006/main" count="6507" uniqueCount="174">
  <si>
    <t>Caucasian/White</t>
  </si>
  <si>
    <t>Black/African American</t>
  </si>
  <si>
    <t>Hispanic/Latino</t>
  </si>
  <si>
    <t>Asian/Pacific Islander</t>
  </si>
  <si>
    <t>Total Count</t>
  </si>
  <si>
    <t/>
  </si>
  <si>
    <t>Total %</t>
  </si>
  <si>
    <t>Count</t>
  </si>
  <si>
    <t>%</t>
  </si>
  <si>
    <t>Male</t>
  </si>
  <si>
    <t>Female</t>
  </si>
  <si>
    <t>Grand Total</t>
  </si>
  <si>
    <t>MONTHLY BREAKDOWN</t>
  </si>
  <si>
    <t>2023</t>
  </si>
  <si>
    <t>Jul</t>
  </si>
  <si>
    <t>Jul Total</t>
  </si>
  <si>
    <t>Aug</t>
  </si>
  <si>
    <t>Aug Total</t>
  </si>
  <si>
    <t>Sep</t>
  </si>
  <si>
    <t>Sep Total</t>
  </si>
  <si>
    <t>Oct</t>
  </si>
  <si>
    <t>Oct Total</t>
  </si>
  <si>
    <t>Nov</t>
  </si>
  <si>
    <t>Nov Total</t>
  </si>
  <si>
    <t>Dec</t>
  </si>
  <si>
    <t>Dec Total</t>
  </si>
  <si>
    <t>2024</t>
  </si>
  <si>
    <t>Jan</t>
  </si>
  <si>
    <t>Jan Total</t>
  </si>
  <si>
    <t>Feb</t>
  </si>
  <si>
    <t>Feb Total</t>
  </si>
  <si>
    <t>Mar</t>
  </si>
  <si>
    <t>Mar Total</t>
  </si>
  <si>
    <t>Apr</t>
  </si>
  <si>
    <t>Apr Total</t>
  </si>
  <si>
    <t>May</t>
  </si>
  <si>
    <t>May Total</t>
  </si>
  <si>
    <t>Jun</t>
  </si>
  <si>
    <t>Jun Total</t>
  </si>
  <si>
    <t>AAA Reinforcing</t>
  </si>
  <si>
    <t>Ajay Glass &amp; Mirror Co., Inc.</t>
  </si>
  <si>
    <t>Alliance</t>
  </si>
  <si>
    <t>Auman</t>
  </si>
  <si>
    <t>C&amp;B Mechanical</t>
  </si>
  <si>
    <t>Casler Masonry</t>
  </si>
  <si>
    <t>Crosby-Brownlie, Inc.</t>
  </si>
  <si>
    <t>FAHS Construction Group</t>
  </si>
  <si>
    <t>KONE</t>
  </si>
  <si>
    <t>Matco Electric</t>
  </si>
  <si>
    <t>North Central Mechanical, Inc.</t>
  </si>
  <si>
    <t>Raulli &amp; Sons, Inc.</t>
  </si>
  <si>
    <t>Scaffold Builders Associates</t>
  </si>
  <si>
    <t>Southern Tier Insulations</t>
  </si>
  <si>
    <t>Year</t>
  </si>
  <si>
    <t>Company</t>
  </si>
  <si>
    <t>Quarter</t>
  </si>
  <si>
    <t>Occupation Classifications (SOC Major Group)</t>
  </si>
  <si>
    <t>SOC Job Title</t>
  </si>
  <si>
    <t>EEO Job Title</t>
  </si>
  <si>
    <t>SOC Job Code</t>
  </si>
  <si>
    <t>Race/Ethnicity</t>
  </si>
  <si>
    <t>Gender</t>
  </si>
  <si>
    <t>No. of Employees</t>
  </si>
  <si>
    <t>No. of Hours Worked</t>
  </si>
  <si>
    <t>Gross Wages</t>
  </si>
  <si>
    <t>Q3</t>
  </si>
  <si>
    <t>Construction and Extraction</t>
  </si>
  <si>
    <t>Plumbers, Pipefitters, and Steamfitters</t>
  </si>
  <si>
    <t>Craft Workers</t>
  </si>
  <si>
    <t>47-2152</t>
  </si>
  <si>
    <t>Carpenters</t>
  </si>
  <si>
    <t>47-2031</t>
  </si>
  <si>
    <t>Construction Laborers</t>
  </si>
  <si>
    <t>Labors and Helpers</t>
  </si>
  <si>
    <t>47-2061</t>
  </si>
  <si>
    <t>Operating Engineers and Other Construction Equipment Operators</t>
  </si>
  <si>
    <t>47-2073</t>
  </si>
  <si>
    <t>Q4</t>
  </si>
  <si>
    <t>Reinforcing Iron and Rebar Workers</t>
  </si>
  <si>
    <t>47-2171</t>
  </si>
  <si>
    <t>Installation, Maintenance, and Repair</t>
  </si>
  <si>
    <t>First-Line Supervisors of Mechanics, Installers, and Repairers</t>
  </si>
  <si>
    <t>ELEVATOR MECHANIC</t>
  </si>
  <si>
    <t>49-1011</t>
  </si>
  <si>
    <t>Electricians</t>
  </si>
  <si>
    <t>47-2111</t>
  </si>
  <si>
    <t>Q1</t>
  </si>
  <si>
    <t>Q2</t>
  </si>
  <si>
    <t>Heating, Air Conditioning, and Refrigeration Mechanics and Installers</t>
  </si>
  <si>
    <t>49-9021</t>
  </si>
  <si>
    <t>Insulation Workers, Mechanical</t>
  </si>
  <si>
    <t>Glaziers</t>
  </si>
  <si>
    <t>47-2121</t>
  </si>
  <si>
    <t>Cement Masons and Concrete Finishers</t>
  </si>
  <si>
    <t>47-2051</t>
  </si>
  <si>
    <t>First-Line Supervisors of Construction Trades and Extraction Workers</t>
  </si>
  <si>
    <t>47-1011</t>
  </si>
  <si>
    <t>Brickmasons and Blockmasons</t>
  </si>
  <si>
    <t>47-2021</t>
  </si>
  <si>
    <t>47-2132</t>
  </si>
  <si>
    <t>Structural Iron and Steel Workers</t>
  </si>
  <si>
    <t>47-2221</t>
  </si>
  <si>
    <t>Dyno Group, Inc.</t>
  </si>
  <si>
    <t>Column1</t>
  </si>
  <si>
    <t>Helpers--Extraction Workers</t>
  </si>
  <si>
    <t>47-5081</t>
  </si>
  <si>
    <t>Kim Industries, Inc.</t>
  </si>
  <si>
    <t>Elevator Installers and Repairers</t>
  </si>
  <si>
    <t>47-4021</t>
  </si>
  <si>
    <t>Painters, Construction and Maintenance</t>
  </si>
  <si>
    <t>47-2141</t>
  </si>
  <si>
    <t>Native American/Alaskan Native</t>
  </si>
  <si>
    <t>KSP Painting of Syracuse, Ltd.</t>
  </si>
  <si>
    <t>Date2</t>
  </si>
  <si>
    <t>2025</t>
  </si>
  <si>
    <t>Native American/Indigenous</t>
  </si>
  <si>
    <t>49-9022</t>
  </si>
  <si>
    <t>49-9023</t>
  </si>
  <si>
    <t>49-9024</t>
  </si>
  <si>
    <t>49-9025</t>
  </si>
  <si>
    <t>WORKFORCE ETHNICITY BREAKDOWN - HOURS WORKED ON SITE BY GENDER</t>
  </si>
  <si>
    <t>Helpers--Installation, Maintenance, and Repair Workers</t>
  </si>
  <si>
    <t>49-9098</t>
  </si>
  <si>
    <t>SRI Fire Sprinkler</t>
  </si>
  <si>
    <t>Driscoll Masonry Restoration</t>
  </si>
  <si>
    <t>Roofers</t>
  </si>
  <si>
    <t>47-2181</t>
  </si>
  <si>
    <t>J&amp;A Plastering</t>
  </si>
  <si>
    <t>Lupini Construction</t>
  </si>
  <si>
    <t>Pro Carpet, Inc.</t>
  </si>
  <si>
    <t>Installation, Maintenance, and Repair Workers, All Other</t>
  </si>
  <si>
    <t>49-9099</t>
  </si>
  <si>
    <t>Weathermaster Roofing Co</t>
  </si>
  <si>
    <t>Sheet Metal Workers</t>
  </si>
  <si>
    <t>47-2211</t>
  </si>
  <si>
    <t>WORKFORCE ETHNICITY BREAKDOWN - HOURS WORKED ON SITE BY CONTRACTOR</t>
  </si>
  <si>
    <t>WORKFORCE ETHNICITY BREAKDOWN - TOTAL EMPLOYEE WORKDAYS ON SITE BY CONTRACTOR</t>
  </si>
  <si>
    <t>Avarus Solutions</t>
  </si>
  <si>
    <t>Telecommunications Equipment Installers and Repairers, Except Line Installers</t>
  </si>
  <si>
    <t>49-2022</t>
  </si>
  <si>
    <t>John C. Lowery, Inc.</t>
  </si>
  <si>
    <t>Tapers</t>
  </si>
  <si>
    <t>47-2082</t>
  </si>
  <si>
    <t>GC Flooring</t>
  </si>
  <si>
    <t>Stalwart Development Group</t>
  </si>
  <si>
    <t>Hazardous Materials Removal Workers</t>
  </si>
  <si>
    <t>47-4041</t>
  </si>
  <si>
    <t>Construction laborers</t>
  </si>
  <si>
    <t>Tile and Marble Setters</t>
  </si>
  <si>
    <t>47-2044</t>
  </si>
  <si>
    <t>Martino Tile</t>
  </si>
  <si>
    <t>Construction and Related Workers, All Other</t>
  </si>
  <si>
    <t>47-4099</t>
  </si>
  <si>
    <t>AJG Associates</t>
  </si>
  <si>
    <t>McKinley West Enterprise</t>
  </si>
  <si>
    <t>R.W. Dake &amp; Co.</t>
  </si>
  <si>
    <t>Spencer-Virnoche</t>
  </si>
  <si>
    <t>Fence Erectors</t>
  </si>
  <si>
    <t>47-4031</t>
  </si>
  <si>
    <t>Rommel Fence</t>
  </si>
  <si>
    <t>Talis Historic Restoration</t>
  </si>
  <si>
    <t>Draperies Etc, Inc.</t>
  </si>
  <si>
    <t>Kraftwerks</t>
  </si>
  <si>
    <t xml:space="preserve">Building and Grounds Cleaning and Maintenance </t>
  </si>
  <si>
    <t>First-Line Supervisors of Housekeeping and Janitorial Workers</t>
  </si>
  <si>
    <t>Service Workers</t>
  </si>
  <si>
    <t>37-1011</t>
  </si>
  <si>
    <t>The Night Shift</t>
  </si>
  <si>
    <t>Helpers, Construction Trades, All Other</t>
  </si>
  <si>
    <t>47-3019</t>
  </si>
  <si>
    <t>Patriot Sons USA, LLC</t>
  </si>
  <si>
    <t>Kone</t>
  </si>
  <si>
    <t xml:space="preserve"> </t>
  </si>
  <si>
    <t>WORKFORCE ETHNICITY BREAKDOWN -  TOTAL EMPLOYEE WORKDAYS ON SITE BY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</si>
</sst>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  <numFmt numFmtId="165" formatCode="0.0%"/>
    <numFmt numFmtId="166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262140"/>
      <name val="Century Gothic"/>
      <family val="2"/>
    </font>
    <font>
      <sz val="10"/>
      <color rgb="FF262140"/>
      <name val="Microsoft Sans Serif"/>
      <family val="2"/>
    </font>
    <font>
      <b/>
      <sz val="10"/>
      <color rgb="FF262140"/>
      <name val="Microsoft Sans Serif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6214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CE6F1"/>
        <bgColor theme="4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8" xfId="0" applyBorder="1"/>
    <xf numFmtId="0" fontId="3" fillId="0" borderId="0" xfId="0" applyFont="1"/>
    <xf numFmtId="0" fontId="4" fillId="3" borderId="0" xfId="0" applyFont="1" applyFill="1" applyAlignment="1">
      <alignment horizontal="center"/>
    </xf>
    <xf numFmtId="165" fontId="3" fillId="0" borderId="0" xfId="0" applyNumberFormat="1" applyFont="1"/>
    <xf numFmtId="165" fontId="3" fillId="0" borderId="0" xfId="2" applyNumberFormat="1" applyFont="1" applyBorder="1"/>
    <xf numFmtId="0" fontId="0" fillId="4" borderId="0" xfId="0" applyFill="1"/>
    <xf numFmtId="164" fontId="0" fillId="2" borderId="5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44" fontId="0" fillId="2" borderId="6" xfId="1" applyFont="1" applyFill="1" applyBorder="1" applyAlignment="1"/>
    <xf numFmtId="0" fontId="0" fillId="0" borderId="2" xfId="0" applyBorder="1"/>
    <xf numFmtId="44" fontId="0" fillId="0" borderId="3" xfId="1" applyFont="1" applyBorder="1" applyAlignment="1"/>
    <xf numFmtId="0" fontId="0" fillId="0" borderId="10" xfId="0" applyBorder="1"/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hidden="1"/>
    </xf>
    <xf numFmtId="44" fontId="0" fillId="0" borderId="3" xfId="1" applyFont="1" applyBorder="1" applyAlignment="1" applyProtection="1">
      <protection locked="0"/>
    </xf>
    <xf numFmtId="44" fontId="0" fillId="0" borderId="0" xfId="1" applyFont="1" applyAlignment="1"/>
    <xf numFmtId="0" fontId="0" fillId="0" borderId="7" xfId="0" applyBorder="1"/>
    <xf numFmtId="0" fontId="5" fillId="0" borderId="1" xfId="0" applyFont="1" applyBorder="1" applyAlignment="1" applyProtection="1">
      <alignment horizontal="left" vertical="center"/>
      <protection hidden="1"/>
    </xf>
    <xf numFmtId="44" fontId="0" fillId="0" borderId="9" xfId="1" applyFont="1" applyBorder="1" applyAlignment="1"/>
    <xf numFmtId="166" fontId="0" fillId="0" borderId="3" xfId="0" applyNumberFormat="1" applyBorder="1" applyProtection="1">
      <protection locked="0"/>
    </xf>
    <xf numFmtId="44" fontId="0" fillId="0" borderId="7" xfId="1" applyFont="1" applyBorder="1" applyAlignment="1"/>
    <xf numFmtId="3" fontId="0" fillId="0" borderId="1" xfId="0" applyNumberFormat="1" applyBorder="1" applyProtection="1">
      <protection locked="0"/>
    </xf>
    <xf numFmtId="8" fontId="0" fillId="0" borderId="3" xfId="1" applyNumberFormat="1" applyFont="1" applyBorder="1" applyAlignment="1"/>
    <xf numFmtId="8" fontId="0" fillId="0" borderId="3" xfId="1" applyNumberFormat="1" applyFont="1" applyBorder="1" applyAlignment="1" applyProtection="1">
      <protection locked="0"/>
    </xf>
    <xf numFmtId="3" fontId="0" fillId="0" borderId="1" xfId="0" applyNumberFormat="1" applyBorder="1"/>
    <xf numFmtId="44" fontId="0" fillId="0" borderId="0" xfId="1" applyFont="1"/>
    <xf numFmtId="44" fontId="0" fillId="4" borderId="0" xfId="1" applyFont="1" applyFill="1"/>
    <xf numFmtId="44" fontId="0" fillId="0" borderId="0" xfId="0" applyNumberFormat="1"/>
    <xf numFmtId="164" fontId="0" fillId="0" borderId="1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0" xfId="0" applyNumberFormat="1"/>
    <xf numFmtId="0" fontId="0" fillId="0" borderId="7" xfId="0" applyBorder="1" applyAlignment="1">
      <alignment horizontal="left"/>
    </xf>
    <xf numFmtId="8" fontId="0" fillId="0" borderId="7" xfId="1" applyNumberFormat="1" applyFont="1" applyBorder="1" applyAlignment="1"/>
    <xf numFmtId="8" fontId="0" fillId="0" borderId="1" xfId="1" applyNumberFormat="1" applyFont="1" applyBorder="1" applyAlignment="1"/>
    <xf numFmtId="8" fontId="0" fillId="0" borderId="3" xfId="1" applyNumberFormat="1" applyFont="1" applyFill="1" applyBorder="1" applyAlignment="1" applyProtection="1">
      <protection locked="0"/>
    </xf>
    <xf numFmtId="8" fontId="0" fillId="0" borderId="3" xfId="1" applyNumberFormat="1" applyFont="1" applyFill="1" applyBorder="1" applyAlignment="1"/>
    <xf numFmtId="164" fontId="0" fillId="0" borderId="10" xfId="0" applyNumberFormat="1" applyBorder="1" applyAlignment="1">
      <alignment horizontal="left"/>
    </xf>
    <xf numFmtId="8" fontId="0" fillId="0" borderId="9" xfId="1" applyNumberFormat="1" applyFont="1" applyBorder="1" applyAlignment="1"/>
    <xf numFmtId="0" fontId="5" fillId="0" borderId="10" xfId="0" applyFont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left"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8" fontId="0" fillId="0" borderId="3" xfId="0" applyNumberFormat="1" applyBorder="1"/>
    <xf numFmtId="8" fontId="0" fillId="0" borderId="7" xfId="1" applyNumberFormat="1" applyFont="1" applyBorder="1" applyAlignment="1" applyProtection="1">
      <protection locked="0"/>
    </xf>
    <xf numFmtId="0" fontId="0" fillId="0" borderId="10" xfId="0" applyBorder="1" applyProtection="1">
      <protection locked="0"/>
    </xf>
    <xf numFmtId="8" fontId="0" fillId="0" borderId="9" xfId="1" applyNumberFormat="1" applyFont="1" applyBorder="1" applyAlignment="1" applyProtection="1">
      <protection locked="0"/>
    </xf>
    <xf numFmtId="0" fontId="4" fillId="3" borderId="0" xfId="0" applyFont="1" applyFill="1"/>
    <xf numFmtId="0" fontId="3" fillId="5" borderId="0" xfId="0" applyFont="1" applyFill="1"/>
    <xf numFmtId="0" fontId="4" fillId="0" borderId="0" xfId="0" applyFont="1"/>
    <xf numFmtId="0" fontId="7" fillId="0" borderId="0" xfId="0" applyFont="1"/>
    <xf numFmtId="0" fontId="0" fillId="5" borderId="0" xfId="0" applyFill="1"/>
    <xf numFmtId="4" fontId="0" fillId="0" borderId="1" xfId="0" applyNumberFormat="1" applyBorder="1"/>
    <xf numFmtId="0" fontId="8" fillId="0" borderId="0" xfId="0" applyFont="1"/>
    <xf numFmtId="0" fontId="8" fillId="0" borderId="0" xfId="0" applyFont="1" applyAlignment="1">
      <alignment horizontal="left"/>
    </xf>
    <xf numFmtId="10" fontId="8" fillId="0" borderId="0" xfId="0" applyNumberFormat="1" applyFont="1"/>
    <xf numFmtId="165" fontId="8" fillId="0" borderId="0" xfId="0" applyNumberFormat="1" applyFont="1"/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0" xfId="0"/>
    <xf numFmtId="0" fontId="0" fillId="0" borderId="1" xfId="0" applyBorder="1" applyProtection="1">
      <protection locked="0"/>
    </xf>
    <xf numFmtId="0" fontId="0" fillId="0" borderId="7" xfId="0" applyBorder="1" applyProtection="1">
      <protection locked="0"/>
    </xf>
    <xf numFmtId="166" fontId="0" fillId="0" borderId="7" xfId="0" applyNumberFormat="1" applyBorder="1" applyProtection="1">
      <protection locked="0"/>
    </xf>
    <xf numFmtId="0" fontId="0" fillId="0" borderId="1" xfId="0" applyBorder="1" applyAlignment="1" applyProtection="1"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wrapText="1"/>
      <protection locked="0"/>
    </xf>
    <xf numFmtId="0" fontId="0" fillId="4" borderId="1" xfId="0" applyFill="1" applyBorder="1"/>
    <xf numFmtId="8" fontId="0" fillId="4" borderId="3" xfId="1" applyNumberFormat="1" applyFont="1" applyFill="1" applyBorder="1" applyAlignment="1"/>
    <xf numFmtId="0" fontId="3" fillId="0" borderId="11" xfId="0" applyFont="1" applyBorder="1"/>
    <xf numFmtId="0" fontId="3" fillId="0" borderId="0" xfId="0" applyFont="1" applyBorder="1"/>
    <xf numFmtId="165" fontId="3" fillId="0" borderId="0" xfId="0" applyNumberFormat="1" applyFont="1" applyBorder="1" applyAlignment="1">
      <alignment horizontal="left" indent="3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3"/>
    </xf>
    <xf numFmtId="0" fontId="3" fillId="0" borderId="0" xfId="0" pivotButton="1" applyFont="1" applyBorder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/>
    <xf numFmtId="10" fontId="3" fillId="0" borderId="0" xfId="0" applyNumberFormat="1" applyFont="1" applyBorder="1"/>
    <xf numFmtId="0" fontId="3" fillId="0" borderId="0" xfId="0" applyFont="1" applyBorder="1" applyAlignment="1">
      <alignment horizontal="left" indent="2"/>
    </xf>
    <xf numFmtId="0" fontId="3" fillId="0" borderId="12" xfId="0" applyFont="1" applyBorder="1"/>
    <xf numFmtId="0" fontId="3" fillId="0" borderId="11" xfId="0" pivotButton="1" applyFont="1" applyBorder="1"/>
    <xf numFmtId="165" fontId="3" fillId="0" borderId="11" xfId="0" applyNumberFormat="1" applyFont="1" applyBorder="1"/>
    <xf numFmtId="0" fontId="3" fillId="0" borderId="13" xfId="0" applyFont="1" applyBorder="1" applyAlignment="1">
      <alignment horizontal="left"/>
    </xf>
    <xf numFmtId="0" fontId="4" fillId="0" borderId="0" xfId="0" applyNumberFormat="1" applyFont="1" applyBorder="1"/>
    <xf numFmtId="10" fontId="4" fillId="0" borderId="0" xfId="0" applyNumberFormat="1" applyFont="1" applyBorder="1"/>
    <xf numFmtId="0" fontId="4" fillId="0" borderId="0" xfId="0" applyFont="1" applyBorder="1" applyAlignment="1">
      <alignment horizontal="left" indent="1"/>
    </xf>
    <xf numFmtId="165" fontId="3" fillId="0" borderId="0" xfId="0" applyNumberFormat="1" applyFont="1" applyBorder="1"/>
    <xf numFmtId="165" fontId="4" fillId="0" borderId="0" xfId="0" applyNumberFormat="1" applyFont="1" applyBorder="1"/>
    <xf numFmtId="0" fontId="3" fillId="5" borderId="0" xfId="0" applyFont="1" applyFill="1" applyBorder="1"/>
    <xf numFmtId="0" fontId="4" fillId="3" borderId="0" xfId="0" applyFont="1" applyFill="1" applyBorder="1" applyAlignment="1">
      <alignment horizontal="center"/>
    </xf>
    <xf numFmtId="1" fontId="3" fillId="0" borderId="0" xfId="0" applyNumberFormat="1" applyFont="1" applyBorder="1"/>
    <xf numFmtId="0" fontId="3" fillId="0" borderId="13" xfId="0" applyNumberFormat="1" applyFont="1" applyBorder="1"/>
    <xf numFmtId="1" fontId="3" fillId="0" borderId="13" xfId="0" applyNumberFormat="1" applyFont="1" applyBorder="1"/>
    <xf numFmtId="165" fontId="3" fillId="0" borderId="13" xfId="0" applyNumberFormat="1" applyFont="1" applyBorder="1"/>
    <xf numFmtId="165" fontId="4" fillId="3" borderId="0" xfId="0" applyNumberFormat="1" applyFont="1" applyFill="1" applyBorder="1" applyAlignment="1">
      <alignment horizontal="center"/>
    </xf>
    <xf numFmtId="1" fontId="4" fillId="0" borderId="0" xfId="0" applyNumberFormat="1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4" xfId="0" pivotButton="1" applyFont="1" applyBorder="1"/>
    <xf numFmtId="165" fontId="3" fillId="0" borderId="14" xfId="0" applyNumberFormat="1" applyFont="1" applyBorder="1"/>
    <xf numFmtId="9" fontId="3" fillId="0" borderId="0" xfId="0" applyNumberFormat="1" applyFont="1" applyBorder="1"/>
    <xf numFmtId="0" fontId="2" fillId="3" borderId="0" xfId="0" applyFont="1" applyFill="1" applyAlignment="1"/>
    <xf numFmtId="8" fontId="0" fillId="0" borderId="1" xfId="1" applyNumberFormat="1" applyFont="1" applyBorder="1" applyAlignment="1" applyProtection="1">
      <protection locked="0"/>
    </xf>
    <xf numFmtId="8" fontId="0" fillId="0" borderId="10" xfId="1" applyNumberFormat="1" applyFont="1" applyBorder="1" applyAlignment="1"/>
  </cellXfs>
  <cellStyles count="4">
    <cellStyle name="Currency" xfId="1" builtinId="4"/>
    <cellStyle name="Normal" xfId="0" builtinId="0"/>
    <cellStyle name="Normal 2" xfId="3" xr:uid="{25CA8C52-C1F2-479C-B269-2F2F73402D1D}"/>
    <cellStyle name="Percent" xfId="2" builtinId="5"/>
  </cellStyles>
  <dxfs count="19773"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relativeIndent="1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alignment relativeInden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numFmt numFmtId="14" formatCode="0.00%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border>
        <top style="thin">
          <color indexed="64"/>
        </top>
        <bottom style="double">
          <color indexed="64"/>
        </bottom>
      </border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numFmt numFmtId="14" formatCode="0.00%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" formatCode="0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right/>
      </border>
    </dxf>
    <dxf>
      <border>
        <right/>
      </border>
    </dxf>
    <dxf>
      <border>
        <right/>
      </border>
    </dxf>
    <dxf>
      <alignment horizontal="left" relativeIndent="1"/>
    </dxf>
    <dxf>
      <alignment relativeIndent="1"/>
    </dxf>
    <dxf>
      <alignment horizontal="left" relativeIndent="1"/>
    </dxf>
    <dxf>
      <alignment relativeIndent="-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b/>
      </font>
      <fill>
        <patternFill patternType="solid">
          <fgColor theme="4" tint="-0.249977111117893"/>
          <bgColor rgb="FFDCE6F1"/>
        </patternFill>
      </fill>
      <alignment horizontal="center"/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numFmt numFmtId="165" formatCode="0.0%"/>
    </dxf>
    <dxf>
      <numFmt numFmtId="165" formatCode="0.0%"/>
    </dxf>
    <dxf>
      <border>
        <right/>
      </border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fill>
        <patternFill>
          <bgColor rgb="FFDCE6F1"/>
        </patternFill>
      </fill>
    </dxf>
    <dxf>
      <numFmt numFmtId="165" formatCode="0.0%"/>
    </dxf>
    <dxf>
      <numFmt numFmtId="165" formatCode="0.0%"/>
    </dxf>
    <dxf>
      <alignment horizontal="left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horizontal="left" relative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relativeIndent="1"/>
    </dxf>
    <dxf>
      <alignment relativeInden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name val="Microsoft Sans Serif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font>
        <color rgb="FF262140"/>
      </font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>
          <bgColor rgb="FFDCE6F1"/>
        </patternFill>
      </fill>
    </dxf>
    <dxf>
      <border>
        <top style="thin">
          <color indexed="64"/>
        </top>
        <bottom style="double">
          <color indexed="64"/>
        </bottom>
      </border>
    </dxf>
    <dxf>
      <numFmt numFmtId="165" formatCode="0.0%"/>
    </dxf>
    <dxf>
      <numFmt numFmtId="165" formatCode="0.0%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fill>
        <patternFill patternType="solid">
          <bgColor rgb="FFDCE6F1"/>
        </patternFill>
      </fill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mm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CE6F1"/>
      <color rgb="FF262140"/>
      <color rgb="FF3A3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-NY\Desktop\SUNY\C&amp;B%20MEUR%20August%202024.xlsx" TargetMode="External"/><Relationship Id="rId1" Type="http://schemas.openxmlformats.org/officeDocument/2006/relationships/externalLinkPath" Target="/Users/BD-NY/Desktop/SUNY/C&amp;B%20MEUR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orce"/>
      <sheetName val="Instructions"/>
      <sheetName val="Non-Derivative Drops"/>
      <sheetName val="Titles and Codes"/>
      <sheetName val="Codes and Titles"/>
      <sheetName val="Titles"/>
      <sheetName val="Code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Management</v>
          </cell>
          <cell r="B2" t="str">
            <v>Business and Financial Operations</v>
          </cell>
          <cell r="C2" t="str">
            <v>Computer and Mathematical</v>
          </cell>
          <cell r="D2" t="str">
            <v>Architecture and Engineering</v>
          </cell>
          <cell r="E2" t="str">
            <v>Life, Physical, and Social Science</v>
          </cell>
          <cell r="F2" t="str">
            <v>Community and Social Service</v>
          </cell>
          <cell r="G2" t="str">
            <v>Legal</v>
          </cell>
          <cell r="H2" t="str">
            <v>Education, Training, and Library</v>
          </cell>
          <cell r="I2" t="str">
            <v>Arts, Design, Entertainment, Sports, and Media</v>
          </cell>
          <cell r="J2" t="str">
            <v>Healthcare Practitioners and Technical</v>
          </cell>
          <cell r="K2" t="str">
            <v xml:space="preserve">Healthcare Support </v>
          </cell>
          <cell r="L2" t="str">
            <v xml:space="preserve">Protective Service </v>
          </cell>
          <cell r="M2" t="str">
            <v xml:space="preserve">Food Preparation and Serving Related </v>
          </cell>
          <cell r="N2" t="str">
            <v xml:space="preserve">Building and Grounds Cleaning and Maintenance </v>
          </cell>
          <cell r="O2" t="str">
            <v xml:space="preserve">Personal Care and Service </v>
          </cell>
          <cell r="P2" t="str">
            <v>Sales and Related</v>
          </cell>
          <cell r="Q2" t="str">
            <v xml:space="preserve">Office and Administrative Support </v>
          </cell>
          <cell r="R2" t="str">
            <v>Farming, Fishing, and Forestry</v>
          </cell>
          <cell r="S2" t="str">
            <v>Construction and Extraction</v>
          </cell>
          <cell r="T2" t="str">
            <v>Installation, Maintenance, and Repair</v>
          </cell>
          <cell r="U2" t="str">
            <v>Production</v>
          </cell>
          <cell r="V2" t="str">
            <v>Transportation and Material Moving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D" refreshedDate="46064.766551967594" createdVersion="8" refreshedVersion="8" minRefreshableVersion="3" recordCount="757" xr:uid="{B41F0277-32AA-461E-8859-BBD6E73A2C0A}">
  <cacheSource type="worksheet">
    <worksheetSource ref="A1:M758" sheet="Data"/>
  </cacheSource>
  <cacheFields count="16">
    <cacheField name="Company" numFmtId="0">
      <sharedItems containsBlank="1" count="40">
        <s v="Crosby-Brownlie, Inc."/>
        <s v="FAHS Construction Group"/>
        <s v="Stalwart Development Group"/>
        <s v="Auman"/>
        <s v="North Central Mechanical, Inc."/>
        <s v="Matco Electric"/>
        <s v="KONE"/>
        <s v="AAA Reinforcing"/>
        <s v="Lupini Construction"/>
        <s v="Driscoll Masonry Restoration"/>
        <s v="John C. Lowery, Inc."/>
        <s v="Pro Carpet, Inc."/>
        <s v="Alliance"/>
        <s v="Casler Masonry"/>
        <s v="Weathermaster Roofing Co"/>
        <s v="C&amp;B Mechanical"/>
        <s v="Southern Tier Insulations"/>
        <s v="Ajay Glass &amp; Mirror Co., Inc."/>
        <s v="J&amp;A Plastering"/>
        <s v="Dyno Group, Inc."/>
        <s v="Kim Industries, Inc."/>
        <s v="Raulli &amp; Sons, Inc."/>
        <s v="Scaffold Builders Associates"/>
        <s v="KSP Painting of Syracuse, Ltd."/>
        <s v="SRI Fire Sprinkler"/>
        <s v="Avarus Solutions"/>
        <s v="GC Flooring"/>
        <s v="Spencer-Virnoche"/>
        <s v="Martino Tile"/>
        <s v="McKinley West Enterprise"/>
        <s v="R.W. Dake &amp; Co."/>
        <s v="AJG Associates"/>
        <s v="Rommel Fence"/>
        <s v="Talis Historic Restoration"/>
        <s v="The Night Shift"/>
        <s v="Kraftwerks"/>
        <s v="Patriot Sons USA, LLC"/>
        <s v="Draperies Etc, Inc."/>
        <s v="AJG Associates LLC" u="1"/>
        <m u="1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Date2" numFmtId="164">
      <sharedItems containsSemiMixedTypes="0" containsNonDate="0" containsDate="1" containsString="0" minDate="2023-07-01T00:00:00" maxDate="2025-12-02T00:00:00" count="35"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8-02T00:00:00"/>
        <d v="2024-08-05T00:00:00"/>
        <d v="2024-08-06T00:00:00"/>
        <d v="2024-09-01T00:00:00"/>
        <d v="2024-10-01T00:00:00"/>
        <d v="2024-11-01T00:00:00"/>
        <d v="2024-12-01T00:00:00"/>
        <d v="2025-01-01T00:00:00"/>
        <d v="2025-02-01T00:00:00"/>
        <d v="2025-02-02T00:00:00"/>
        <d v="2025-02-03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5"/>
    </cacheField>
    <cacheField name="Quarter" numFmtId="0">
      <sharedItems count="4">
        <s v="Q3"/>
        <s v="Q4"/>
        <s v="Q1"/>
        <s v="Q2"/>
      </sharedItems>
    </cacheField>
    <cacheField name="Occupation Classifications (SOC Major Group)" numFmtId="0">
      <sharedItems containsBlank="1"/>
    </cacheField>
    <cacheField name="SOC Job Title" numFmtId="0">
      <sharedItems containsBlank="1"/>
    </cacheField>
    <cacheField name="EEO Job Title" numFmtId="0">
      <sharedItems containsBlank="1"/>
    </cacheField>
    <cacheField name="SOC Job Code" numFmtId="0">
      <sharedItems containsBlank="1"/>
    </cacheField>
    <cacheField name="Race/Ethnicity" numFmtId="0">
      <sharedItems containsBlank="1" count="7">
        <s v="Caucasian/White"/>
        <s v="Asian/Pacific Islander"/>
        <s v="Black/African American"/>
        <s v="Native American/Alaskan Native"/>
        <s v="Hispanic/Latino"/>
        <m u="1"/>
        <s v="   Vietnamese" u="1"/>
      </sharedItems>
    </cacheField>
    <cacheField name="Gender" numFmtId="0">
      <sharedItems containsBlank="1" count="3">
        <s v="Male"/>
        <s v="Female"/>
        <m u="1"/>
      </sharedItems>
    </cacheField>
    <cacheField name="No. of Employees" numFmtId="0">
      <sharedItems containsSemiMixedTypes="0" containsString="0" containsNumber="1" containsInteger="1" minValue="0" maxValue="27"/>
    </cacheField>
    <cacheField name="No. of Hours Worked" numFmtId="0">
      <sharedItems containsSemiMixedTypes="0" containsString="0" containsNumber="1" minValue="0" maxValue="2979"/>
    </cacheField>
    <cacheField name="Gross Wages" numFmtId="0">
      <sharedItems containsString="0" containsBlank="1" containsNumber="1" minValue="30" maxValue="141329.07"/>
    </cacheField>
    <cacheField name="Months (Date2)" numFmtId="0" databaseField="0">
      <fieldGroup base="2">
        <rangePr groupBy="months" startDate="2023-07-01T00:00:00" endDate="2025-12-02T00:00:00"/>
        <groupItems count="14">
          <s v="&lt;7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Date2)" numFmtId="0" databaseField="0">
      <fieldGroup base="2">
        <rangePr groupBy="quarters" startDate="2023-07-01T00:00:00" endDate="2025-12-02T00:00:00"/>
        <groupItems count="6">
          <s v="&lt;7/1/2023"/>
          <s v="Qtr1"/>
          <s v="Qtr2"/>
          <s v="Qtr3"/>
          <s v="Qtr4"/>
          <s v="&gt;12/2/2025"/>
        </groupItems>
      </fieldGroup>
    </cacheField>
    <cacheField name="Years (Date2)" numFmtId="0" databaseField="0">
      <fieldGroup base="2">
        <rangePr groupBy="years" startDate="2023-07-01T00:00:00" endDate="2025-12-02T00:00:00"/>
        <groupItems count="5">
          <s v="&lt;7/1/2023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 pivotCacheId="4115467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7">
  <r>
    <x v="0"/>
    <x v="0"/>
    <x v="0"/>
    <x v="0"/>
    <s v="Construction and Extraction"/>
    <s v="Plumbers, Pipefitters, and Steamfitters"/>
    <s v="Craft Workers"/>
    <s v="47-2152"/>
    <x v="0"/>
    <x v="0"/>
    <n v="3"/>
    <n v="36.5"/>
    <n v="1826.03"/>
  </r>
  <r>
    <x v="0"/>
    <x v="0"/>
    <x v="0"/>
    <x v="0"/>
    <s v="Construction and Extraction"/>
    <s v="Plumbers, Pipefitters, and Steamfitters"/>
    <s v="Craft Workers"/>
    <s v="47-2152"/>
    <x v="0"/>
    <x v="1"/>
    <n v="0"/>
    <n v="0"/>
    <m/>
  </r>
  <r>
    <x v="1"/>
    <x v="0"/>
    <x v="0"/>
    <x v="0"/>
    <s v="Construction and Extraction"/>
    <s v="Construction Laborers"/>
    <s v="Labors and Helpers"/>
    <s v="47-2061"/>
    <x v="0"/>
    <x v="0"/>
    <n v="1"/>
    <n v="4"/>
    <n v="192.8"/>
  </r>
  <r>
    <x v="1"/>
    <x v="0"/>
    <x v="0"/>
    <x v="0"/>
    <s v="Construction and Extraction"/>
    <s v="Carpenters"/>
    <s v="Craft Workers"/>
    <s v="47-2031"/>
    <x v="0"/>
    <x v="0"/>
    <n v="2"/>
    <n v="64"/>
    <n v="3259.52"/>
  </r>
  <r>
    <x v="1"/>
    <x v="0"/>
    <x v="0"/>
    <x v="0"/>
    <s v="Construction and Extraction"/>
    <s v="Carpenters"/>
    <s v="Craft Workers"/>
    <s v="47-2031"/>
    <x v="0"/>
    <x v="1"/>
    <n v="0"/>
    <n v="0"/>
    <m/>
  </r>
  <r>
    <x v="1"/>
    <x v="0"/>
    <x v="0"/>
    <x v="0"/>
    <s v="Construction and Extraction"/>
    <s v="Construction Laborers"/>
    <s v="Labors and Helpers"/>
    <s v="47-2061"/>
    <x v="0"/>
    <x v="1"/>
    <n v="0"/>
    <n v="0"/>
    <m/>
  </r>
  <r>
    <x v="2"/>
    <x v="0"/>
    <x v="0"/>
    <x v="0"/>
    <s v="Construction and Extraction"/>
    <s v="First-Line Supervisors of Construction Trades and Extraction Workers"/>
    <s v="Craft Workers"/>
    <s v="47-1011"/>
    <x v="0"/>
    <x v="0"/>
    <n v="2"/>
    <n v="31.5"/>
    <n v="1856.75"/>
  </r>
  <r>
    <x v="2"/>
    <x v="0"/>
    <x v="0"/>
    <x v="0"/>
    <s v="Construction and Extraction"/>
    <s v="Construction Laborers"/>
    <s v="Labors and Helpers"/>
    <s v="47-2061"/>
    <x v="0"/>
    <x v="0"/>
    <n v="2"/>
    <n v="48"/>
    <n v="2313.6"/>
  </r>
  <r>
    <x v="2"/>
    <x v="0"/>
    <x v="0"/>
    <x v="0"/>
    <s v="Construction and Extraction"/>
    <s v="First-Line Supervisors of Construction Trades and Extraction Workers"/>
    <s v="Craft Workers"/>
    <s v="47-1011"/>
    <x v="1"/>
    <x v="0"/>
    <n v="1"/>
    <n v="12"/>
    <n v="1200"/>
  </r>
  <r>
    <x v="3"/>
    <x v="0"/>
    <x v="1"/>
    <x v="0"/>
    <s v="Construction and Extraction"/>
    <s v="Plumbers, Pipefitters, and Steamfitters"/>
    <s v="Craft Workers"/>
    <s v="47-2152"/>
    <x v="0"/>
    <x v="0"/>
    <n v="3"/>
    <n v="302"/>
    <n v="14256.6"/>
  </r>
  <r>
    <x v="3"/>
    <x v="0"/>
    <x v="1"/>
    <x v="0"/>
    <s v="Construction and Extraction"/>
    <s v="Plumbers, Pipefitters, and Steamfitters"/>
    <s v="Craft Workers"/>
    <s v="47-2152"/>
    <x v="0"/>
    <x v="1"/>
    <n v="0"/>
    <n v="0"/>
    <m/>
  </r>
  <r>
    <x v="1"/>
    <x v="0"/>
    <x v="1"/>
    <x v="0"/>
    <s v="Construction and Extraction"/>
    <s v="Construction Laborers"/>
    <s v="Labors and Helpers"/>
    <s v="47-2061"/>
    <x v="0"/>
    <x v="0"/>
    <n v="1"/>
    <n v="8"/>
    <n v="385.6"/>
  </r>
  <r>
    <x v="1"/>
    <x v="0"/>
    <x v="1"/>
    <x v="0"/>
    <s v="Construction and Extraction"/>
    <s v="Construction Laborers"/>
    <s v="Labors and Helpers"/>
    <s v="47-2061"/>
    <x v="0"/>
    <x v="1"/>
    <n v="0"/>
    <n v="0"/>
    <m/>
  </r>
  <r>
    <x v="4"/>
    <x v="0"/>
    <x v="1"/>
    <x v="0"/>
    <s v="Construction and Extraction"/>
    <s v="Operating Engineers and Other Construction Equipment Operators"/>
    <s v="Craft Workers"/>
    <s v="47-2073"/>
    <x v="0"/>
    <x v="0"/>
    <n v="1"/>
    <n v="4"/>
    <n v="296.64"/>
  </r>
  <r>
    <x v="4"/>
    <x v="0"/>
    <x v="1"/>
    <x v="0"/>
    <s v="Construction and Extraction"/>
    <s v="Plumbers, Pipefitters, and Steamfitters"/>
    <s v="Craft Workers"/>
    <s v="47-2152"/>
    <x v="0"/>
    <x v="0"/>
    <n v="6"/>
    <n v="362"/>
    <n v="25018.959999999999"/>
  </r>
  <r>
    <x v="4"/>
    <x v="0"/>
    <x v="1"/>
    <x v="0"/>
    <s v="Construction and Extraction"/>
    <s v="Plumbers, Pipefitters, and Steamfitters"/>
    <s v="Craft Workers"/>
    <s v="47-2152"/>
    <x v="0"/>
    <x v="1"/>
    <n v="0"/>
    <n v="0"/>
    <m/>
  </r>
  <r>
    <x v="4"/>
    <x v="0"/>
    <x v="1"/>
    <x v="0"/>
    <s v="Construction and Extraction"/>
    <s v="Operating Engineers and Other Construction Equipment Operators"/>
    <s v="Craft Workers"/>
    <s v="47-2073"/>
    <x v="0"/>
    <x v="1"/>
    <n v="0"/>
    <n v="0"/>
    <m/>
  </r>
  <r>
    <x v="2"/>
    <x v="0"/>
    <x v="1"/>
    <x v="0"/>
    <s v="Construction and Extraction"/>
    <s v="Construction Laborers"/>
    <s v="Labors and Helpers"/>
    <s v="47-2061"/>
    <x v="0"/>
    <x v="0"/>
    <n v="5"/>
    <n v="521.5"/>
    <n v="25976.27"/>
  </r>
  <r>
    <x v="2"/>
    <x v="0"/>
    <x v="1"/>
    <x v="0"/>
    <s v="Construction and Extraction"/>
    <s v="First-Line Supervisors of Construction Trades and Extraction Workers"/>
    <s v="Craft Workers"/>
    <s v="47-1011"/>
    <x v="0"/>
    <x v="0"/>
    <n v="2"/>
    <n v="156"/>
    <n v="10282"/>
  </r>
  <r>
    <x v="2"/>
    <x v="0"/>
    <x v="1"/>
    <x v="0"/>
    <s v="Construction and Extraction"/>
    <s v="First-Line Supervisors of Construction Trades and Extraction Workers"/>
    <s v="Craft Workers"/>
    <s v="47-1011"/>
    <x v="1"/>
    <x v="0"/>
    <n v="1"/>
    <n v="50"/>
    <n v="5000"/>
  </r>
  <r>
    <x v="0"/>
    <x v="0"/>
    <x v="2"/>
    <x v="0"/>
    <s v="Construction and Extraction"/>
    <s v="Plumbers, Pipefitters, and Steamfitters"/>
    <s v="Craft Workers"/>
    <s v="47-2152"/>
    <x v="0"/>
    <x v="0"/>
    <n v="2"/>
    <n v="158"/>
    <n v="6666.5"/>
  </r>
  <r>
    <x v="0"/>
    <x v="0"/>
    <x v="2"/>
    <x v="0"/>
    <s v="Construction and Extraction"/>
    <s v="Plumbers, Pipefitters, and Steamfitters"/>
    <s v="Craft Workers"/>
    <s v="47-2152"/>
    <x v="0"/>
    <x v="1"/>
    <n v="0"/>
    <n v="0"/>
    <m/>
  </r>
  <r>
    <x v="5"/>
    <x v="0"/>
    <x v="2"/>
    <x v="0"/>
    <s v="Construction and Extraction"/>
    <s v="Electricians"/>
    <s v="Craft Workers"/>
    <s v="47-2111"/>
    <x v="0"/>
    <x v="0"/>
    <n v="3"/>
    <n v="203"/>
    <n v="8774"/>
  </r>
  <r>
    <x v="4"/>
    <x v="0"/>
    <x v="2"/>
    <x v="0"/>
    <s v="Construction and Extraction"/>
    <s v="Operating Engineers and Other Construction Equipment Operators"/>
    <s v="Craft Workers"/>
    <s v="47-2073"/>
    <x v="0"/>
    <x v="0"/>
    <n v="1"/>
    <n v="25"/>
    <n v="1854"/>
  </r>
  <r>
    <x v="4"/>
    <x v="0"/>
    <x v="2"/>
    <x v="0"/>
    <s v="Construction and Extraction"/>
    <s v="Plumbers, Pipefitters, and Steamfitters"/>
    <s v="Craft Workers"/>
    <s v="47-2152"/>
    <x v="0"/>
    <x v="0"/>
    <n v="4"/>
    <n v="429"/>
    <n v="29562.39"/>
  </r>
  <r>
    <x v="4"/>
    <x v="0"/>
    <x v="2"/>
    <x v="0"/>
    <s v="Construction and Extraction"/>
    <s v="Plumbers, Pipefitters, and Steamfitters"/>
    <s v="Craft Workers"/>
    <s v="47-2152"/>
    <x v="0"/>
    <x v="1"/>
    <n v="0"/>
    <n v="0"/>
    <m/>
  </r>
  <r>
    <x v="4"/>
    <x v="0"/>
    <x v="2"/>
    <x v="0"/>
    <s v="Construction and Extraction"/>
    <s v="Operating Engineers and Other Construction Equipment Operators"/>
    <s v="Craft Workers"/>
    <s v="47-2073"/>
    <x v="0"/>
    <x v="1"/>
    <n v="0"/>
    <n v="0"/>
    <m/>
  </r>
  <r>
    <x v="2"/>
    <x v="0"/>
    <x v="2"/>
    <x v="0"/>
    <s v="Construction and Extraction"/>
    <s v="First-Line Supervisors of Construction Trades and Extraction Workers"/>
    <s v="Craft Workers"/>
    <s v="47-1011"/>
    <x v="2"/>
    <x v="0"/>
    <n v="1"/>
    <n v="88"/>
    <n v="4893.04"/>
  </r>
  <r>
    <x v="2"/>
    <x v="0"/>
    <x v="2"/>
    <x v="0"/>
    <s v="Construction and Extraction"/>
    <s v="Hazardous Materials Removal Workers"/>
    <s v="Craft Workers"/>
    <s v="47-4041"/>
    <x v="3"/>
    <x v="0"/>
    <n v="1"/>
    <n v="152"/>
    <n v="7588.4"/>
  </r>
  <r>
    <x v="2"/>
    <x v="0"/>
    <x v="2"/>
    <x v="0"/>
    <s v="Construction and Extraction"/>
    <s v="First-Line Supervisors of Construction Trades and Extraction Workers"/>
    <s v="Craft Workers"/>
    <s v="47-1011"/>
    <x v="1"/>
    <x v="0"/>
    <n v="1"/>
    <n v="120"/>
    <n v="12000"/>
  </r>
  <r>
    <x v="2"/>
    <x v="0"/>
    <x v="2"/>
    <x v="0"/>
    <s v="Construction and Extraction"/>
    <s v="First-Line Supervisors of Construction Trades and Extraction Workers"/>
    <s v="Craft Workers"/>
    <s v="47-1011"/>
    <x v="0"/>
    <x v="0"/>
    <n v="4"/>
    <n v="378.5"/>
    <n v="22101.119999999999"/>
  </r>
  <r>
    <x v="2"/>
    <x v="0"/>
    <x v="2"/>
    <x v="0"/>
    <s v="Construction and Extraction"/>
    <s v="Hazardous Materials Removal Workers"/>
    <s v="Craft Workers"/>
    <s v="47-4041"/>
    <x v="0"/>
    <x v="0"/>
    <n v="5"/>
    <n v="616"/>
    <n v="30661.200000000001"/>
  </r>
  <r>
    <x v="0"/>
    <x v="0"/>
    <x v="3"/>
    <x v="1"/>
    <s v="Construction and Extraction"/>
    <s v="Plumbers, Pipefitters, and Steamfitters"/>
    <s v="Craft Workers"/>
    <s v="47-2152"/>
    <x v="0"/>
    <x v="0"/>
    <n v="3"/>
    <n v="348"/>
    <n v="13159.72"/>
  </r>
  <r>
    <x v="0"/>
    <x v="0"/>
    <x v="3"/>
    <x v="1"/>
    <s v="Construction and Extraction"/>
    <s v="Plumbers, Pipefitters, and Steamfitters"/>
    <s v="Craft Workers"/>
    <s v="47-2152"/>
    <x v="0"/>
    <x v="1"/>
    <n v="0"/>
    <n v="0"/>
    <m/>
  </r>
  <r>
    <x v="1"/>
    <x v="0"/>
    <x v="3"/>
    <x v="1"/>
    <s v="Construction and Extraction"/>
    <s v="Operating Engineers and Other Construction Equipment Operators"/>
    <s v="Craft Workers"/>
    <s v="47-2073"/>
    <x v="0"/>
    <x v="0"/>
    <n v="6"/>
    <n v="173"/>
    <n v="12640.1"/>
  </r>
  <r>
    <x v="1"/>
    <x v="0"/>
    <x v="3"/>
    <x v="1"/>
    <s v="Construction and Extraction"/>
    <s v="Construction Laborers"/>
    <s v="Labors and Helpers"/>
    <s v="47-2061"/>
    <x v="0"/>
    <x v="0"/>
    <n v="5"/>
    <n v="388"/>
    <n v="18701.599999999999"/>
  </r>
  <r>
    <x v="1"/>
    <x v="0"/>
    <x v="3"/>
    <x v="1"/>
    <s v="Construction and Extraction"/>
    <s v="Carpenters"/>
    <s v="Craft Workers"/>
    <s v="47-2031"/>
    <x v="0"/>
    <x v="0"/>
    <n v="4"/>
    <n v="438"/>
    <n v="23205.24"/>
  </r>
  <r>
    <x v="1"/>
    <x v="0"/>
    <x v="3"/>
    <x v="1"/>
    <s v="Construction and Extraction"/>
    <s v="Carpenters"/>
    <s v="Craft Workers"/>
    <s v="47-2031"/>
    <x v="0"/>
    <x v="1"/>
    <n v="0"/>
    <n v="0"/>
    <m/>
  </r>
  <r>
    <x v="1"/>
    <x v="0"/>
    <x v="3"/>
    <x v="1"/>
    <s v="Construction and Extraction"/>
    <s v="Construction Laborers"/>
    <s v="Labors and Helpers"/>
    <s v="47-2061"/>
    <x v="0"/>
    <x v="1"/>
    <n v="0"/>
    <n v="0"/>
    <m/>
  </r>
  <r>
    <x v="1"/>
    <x v="0"/>
    <x v="3"/>
    <x v="1"/>
    <s v="Construction and Extraction"/>
    <s v="Operating Engineers and Other Construction Equipment Operators"/>
    <s v="Craft Workers"/>
    <s v="47-2073"/>
    <x v="0"/>
    <x v="1"/>
    <n v="0"/>
    <n v="0"/>
    <m/>
  </r>
  <r>
    <x v="6"/>
    <x v="0"/>
    <x v="3"/>
    <x v="1"/>
    <s v="Installation, Maintenance, and Repair"/>
    <s v="First-Line Supervisors of Mechanics, Installers, and Repairers"/>
    <s v="ELEVATOR MECHANIC"/>
    <s v="49-1011"/>
    <x v="0"/>
    <x v="0"/>
    <n v="2"/>
    <n v="20"/>
    <n v="907.4"/>
  </r>
  <r>
    <x v="6"/>
    <x v="0"/>
    <x v="3"/>
    <x v="1"/>
    <s v="Installation, Maintenance, and Repair"/>
    <s v="First-Line Supervisors of Mechanics, Installers, and Repairers"/>
    <s v="ELEVATOR MECHANIC"/>
    <s v="49-1011"/>
    <x v="0"/>
    <x v="1"/>
    <n v="0"/>
    <n v="0"/>
    <m/>
  </r>
  <r>
    <x v="5"/>
    <x v="0"/>
    <x v="3"/>
    <x v="1"/>
    <s v="Construction and Extraction"/>
    <s v="Electricians"/>
    <s v="Craft Workers"/>
    <s v="47-2111"/>
    <x v="0"/>
    <x v="0"/>
    <n v="5"/>
    <n v="170"/>
    <n v="7735.2"/>
  </r>
  <r>
    <x v="4"/>
    <x v="0"/>
    <x v="3"/>
    <x v="1"/>
    <s v="Construction and Extraction"/>
    <s v="Operating Engineers and Other Construction Equipment Operators"/>
    <s v="Craft Workers"/>
    <s v="47-2073"/>
    <x v="0"/>
    <x v="0"/>
    <n v="1"/>
    <n v="23"/>
    <n v="1705.68"/>
  </r>
  <r>
    <x v="4"/>
    <x v="0"/>
    <x v="3"/>
    <x v="1"/>
    <s v="Construction and Extraction"/>
    <s v="Plumbers, Pipefitters, and Steamfitters"/>
    <s v="Craft Workers"/>
    <s v="47-2152"/>
    <x v="0"/>
    <x v="0"/>
    <n v="3"/>
    <n v="299"/>
    <n v="20604.09"/>
  </r>
  <r>
    <x v="4"/>
    <x v="0"/>
    <x v="3"/>
    <x v="1"/>
    <s v="Construction and Extraction"/>
    <s v="Plumbers, Pipefitters, and Steamfitters"/>
    <s v="Craft Workers"/>
    <s v="47-2152"/>
    <x v="0"/>
    <x v="1"/>
    <n v="0"/>
    <n v="0"/>
    <m/>
  </r>
  <r>
    <x v="4"/>
    <x v="0"/>
    <x v="3"/>
    <x v="1"/>
    <s v="Construction and Extraction"/>
    <s v="Operating Engineers and Other Construction Equipment Operators"/>
    <s v="Craft Workers"/>
    <s v="47-2073"/>
    <x v="0"/>
    <x v="1"/>
    <n v="0"/>
    <n v="0"/>
    <m/>
  </r>
  <r>
    <x v="2"/>
    <x v="0"/>
    <x v="3"/>
    <x v="1"/>
    <s v="Construction and Extraction"/>
    <s v="Hazardous Materials Removal Workers"/>
    <s v="Craft Workers"/>
    <s v="47-4041"/>
    <x v="3"/>
    <x v="0"/>
    <n v="1"/>
    <n v="200"/>
    <n v="9940"/>
  </r>
  <r>
    <x v="2"/>
    <x v="0"/>
    <x v="3"/>
    <x v="1"/>
    <s v="Construction and Extraction"/>
    <s v="First-Line Supervisors of Construction Trades and Extraction Workers"/>
    <s v="Craft Workers"/>
    <s v="47-1011"/>
    <x v="2"/>
    <x v="0"/>
    <n v="1"/>
    <n v="200"/>
    <n v="12164.48"/>
  </r>
  <r>
    <x v="2"/>
    <x v="0"/>
    <x v="3"/>
    <x v="1"/>
    <s v="Construction and Extraction"/>
    <s v="First-Line Supervisors of Construction Trades and Extraction Workers"/>
    <s v="Craft Workers"/>
    <s v="47-1011"/>
    <x v="1"/>
    <x v="0"/>
    <n v="1"/>
    <n v="200"/>
    <n v="20000"/>
  </r>
  <r>
    <x v="2"/>
    <x v="0"/>
    <x v="3"/>
    <x v="1"/>
    <s v="Construction and Extraction"/>
    <s v="First-Line Supervisors of Construction Trades and Extraction Workers"/>
    <s v="Craft Workers"/>
    <s v="47-1011"/>
    <x v="0"/>
    <x v="0"/>
    <n v="4"/>
    <n v="601"/>
    <n v="35413.82"/>
  </r>
  <r>
    <x v="2"/>
    <x v="0"/>
    <x v="3"/>
    <x v="1"/>
    <s v="Construction and Extraction"/>
    <s v="Hazardous Materials Removal Workers"/>
    <s v="Craft Workers"/>
    <s v="47-4041"/>
    <x v="0"/>
    <x v="0"/>
    <n v="4"/>
    <n v="722"/>
    <n v="35922.400000000001"/>
  </r>
  <r>
    <x v="7"/>
    <x v="0"/>
    <x v="4"/>
    <x v="1"/>
    <s v="Construction and Extraction"/>
    <s v="Reinforcing Iron and Rebar Workers"/>
    <s v="Craft Workers"/>
    <s v="47-2171"/>
    <x v="0"/>
    <x v="0"/>
    <n v="3"/>
    <n v="47"/>
    <n v="1774"/>
  </r>
  <r>
    <x v="7"/>
    <x v="0"/>
    <x v="4"/>
    <x v="1"/>
    <s v="Construction and Extraction"/>
    <s v="Reinforcing Iron and Rebar Workers"/>
    <s v="Craft Workers"/>
    <s v="47-2171"/>
    <x v="0"/>
    <x v="1"/>
    <n v="0"/>
    <n v="0"/>
    <m/>
  </r>
  <r>
    <x v="0"/>
    <x v="0"/>
    <x v="4"/>
    <x v="1"/>
    <s v="Construction and Extraction"/>
    <s v="Plumbers, Pipefitters, and Steamfitters"/>
    <s v="Craft Workers"/>
    <s v="47-2152"/>
    <x v="0"/>
    <x v="0"/>
    <n v="3"/>
    <n v="494"/>
    <n v="18285.68"/>
  </r>
  <r>
    <x v="5"/>
    <x v="0"/>
    <x v="4"/>
    <x v="1"/>
    <s v="Construction and Extraction"/>
    <s v="Electricians"/>
    <s v="Craft Workers"/>
    <s v="47-2111"/>
    <x v="0"/>
    <x v="0"/>
    <n v="9"/>
    <n v="340"/>
    <n v="13293"/>
  </r>
  <r>
    <x v="4"/>
    <x v="0"/>
    <x v="4"/>
    <x v="1"/>
    <s v="Construction and Extraction"/>
    <s v="Operating Engineers and Other Construction Equipment Operators"/>
    <s v="Craft Workers"/>
    <s v="47-2073"/>
    <x v="0"/>
    <x v="0"/>
    <n v="1"/>
    <n v="15"/>
    <n v="1112.4000000000001"/>
  </r>
  <r>
    <x v="4"/>
    <x v="0"/>
    <x v="4"/>
    <x v="1"/>
    <s v="Construction and Extraction"/>
    <s v="Plumbers, Pipefitters, and Steamfitters"/>
    <s v="Craft Workers"/>
    <s v="47-2152"/>
    <x v="0"/>
    <x v="0"/>
    <n v="2"/>
    <n v="225"/>
    <n v="15504.75"/>
  </r>
  <r>
    <x v="4"/>
    <x v="0"/>
    <x v="4"/>
    <x v="1"/>
    <s v="Construction and Extraction"/>
    <s v="Plumbers, Pipefitters, and Steamfitters"/>
    <s v="Craft Workers"/>
    <s v="47-2152"/>
    <x v="0"/>
    <x v="1"/>
    <n v="0"/>
    <n v="0"/>
    <m/>
  </r>
  <r>
    <x v="4"/>
    <x v="0"/>
    <x v="4"/>
    <x v="1"/>
    <s v="Construction and Extraction"/>
    <s v="Operating Engineers and Other Construction Equipment Operators"/>
    <s v="Craft Workers"/>
    <s v="47-2073"/>
    <x v="0"/>
    <x v="1"/>
    <n v="0"/>
    <n v="0"/>
    <m/>
  </r>
  <r>
    <x v="2"/>
    <x v="0"/>
    <x v="4"/>
    <x v="1"/>
    <s v="Construction and Extraction"/>
    <s v="Hazardous Materials Removal Workers"/>
    <s v="Craft Workers"/>
    <s v="47-4041"/>
    <x v="3"/>
    <x v="0"/>
    <n v="1"/>
    <n v="152"/>
    <n v="6995.2"/>
  </r>
  <r>
    <x v="2"/>
    <x v="0"/>
    <x v="4"/>
    <x v="1"/>
    <s v="Construction and Extraction"/>
    <s v="First-Line Supervisors of Construction Trades and Extraction Workers"/>
    <s v="Craft Workers"/>
    <s v="47-1011"/>
    <x v="2"/>
    <x v="0"/>
    <n v="1"/>
    <n v="157"/>
    <n v="7204.52"/>
  </r>
  <r>
    <x v="2"/>
    <x v="0"/>
    <x v="4"/>
    <x v="1"/>
    <s v="Construction and Extraction"/>
    <s v="First-Line Supervisors of Construction Trades and Extraction Workers"/>
    <s v="Craft Workers"/>
    <s v="47-1011"/>
    <x v="1"/>
    <x v="0"/>
    <n v="1"/>
    <n v="160"/>
    <n v="25530.5"/>
  </r>
  <r>
    <x v="2"/>
    <x v="0"/>
    <x v="4"/>
    <x v="1"/>
    <s v="Construction and Extraction"/>
    <s v="Hazardous Materials Removal Workers"/>
    <s v="Craft Workers"/>
    <s v="47-4041"/>
    <x v="0"/>
    <x v="0"/>
    <n v="5"/>
    <n v="687"/>
    <n v="31090.2"/>
  </r>
  <r>
    <x v="2"/>
    <x v="0"/>
    <x v="4"/>
    <x v="1"/>
    <s v="Construction and Extraction"/>
    <s v="First-Line Supervisors of Construction Trades and Extraction Workers"/>
    <s v="Craft Workers"/>
    <s v="47-1011"/>
    <x v="0"/>
    <x v="0"/>
    <n v="4"/>
    <n v="485"/>
    <n v="41341.9"/>
  </r>
  <r>
    <x v="7"/>
    <x v="0"/>
    <x v="5"/>
    <x v="1"/>
    <s v="Construction and Extraction"/>
    <s v="Reinforcing Iron and Rebar Workers"/>
    <s v="Craft Workers"/>
    <s v="47-2171"/>
    <x v="0"/>
    <x v="0"/>
    <n v="2"/>
    <n v="68"/>
    <n v="2600"/>
  </r>
  <r>
    <x v="7"/>
    <x v="0"/>
    <x v="5"/>
    <x v="1"/>
    <s v="Construction and Extraction"/>
    <s v="Reinforcing Iron and Rebar Workers"/>
    <s v="Craft Workers"/>
    <s v="47-2171"/>
    <x v="0"/>
    <x v="1"/>
    <n v="0"/>
    <n v="0"/>
    <m/>
  </r>
  <r>
    <x v="0"/>
    <x v="0"/>
    <x v="5"/>
    <x v="1"/>
    <s v="Construction and Extraction"/>
    <s v="Plumbers, Pipefitters, and Steamfitters"/>
    <s v="Craft Workers"/>
    <s v="47-2152"/>
    <x v="0"/>
    <x v="0"/>
    <n v="3"/>
    <n v="415"/>
    <n v="15678.88"/>
  </r>
  <r>
    <x v="1"/>
    <x v="0"/>
    <x v="5"/>
    <x v="1"/>
    <s v="Construction and Extraction"/>
    <s v="Construction Laborers"/>
    <s v="Labors and Helpers"/>
    <s v="47-2061"/>
    <x v="0"/>
    <x v="0"/>
    <n v="3"/>
    <n v="85"/>
    <n v="6073.2"/>
  </r>
  <r>
    <x v="1"/>
    <x v="0"/>
    <x v="5"/>
    <x v="1"/>
    <s v="Construction and Extraction"/>
    <s v="Operating Engineers and Other Construction Equipment Operators"/>
    <s v="Craft Workers"/>
    <s v="47-2073"/>
    <x v="0"/>
    <x v="0"/>
    <n v="3"/>
    <n v="128"/>
    <n v="7017.6"/>
  </r>
  <r>
    <x v="1"/>
    <x v="0"/>
    <x v="5"/>
    <x v="1"/>
    <s v="Construction and Extraction"/>
    <s v="Carpenters"/>
    <s v="Craft Workers"/>
    <s v="47-2031"/>
    <x v="0"/>
    <x v="0"/>
    <n v="4"/>
    <n v="259"/>
    <n v="11551.64"/>
  </r>
  <r>
    <x v="1"/>
    <x v="0"/>
    <x v="5"/>
    <x v="1"/>
    <s v="Construction and Extraction"/>
    <s v="Carpenters"/>
    <s v="Craft Workers"/>
    <s v="47-2031"/>
    <x v="0"/>
    <x v="1"/>
    <n v="0"/>
    <n v="0"/>
    <m/>
  </r>
  <r>
    <x v="1"/>
    <x v="0"/>
    <x v="5"/>
    <x v="1"/>
    <s v="Construction and Extraction"/>
    <s v="Construction Laborers"/>
    <s v="Labors and Helpers"/>
    <s v="47-2061"/>
    <x v="0"/>
    <x v="1"/>
    <n v="0"/>
    <n v="0"/>
    <m/>
  </r>
  <r>
    <x v="1"/>
    <x v="0"/>
    <x v="5"/>
    <x v="1"/>
    <s v="Construction and Extraction"/>
    <s v="Operating Engineers and Other Construction Equipment Operators"/>
    <s v="Craft Workers"/>
    <s v="47-2073"/>
    <x v="0"/>
    <x v="1"/>
    <n v="0"/>
    <n v="0"/>
    <m/>
  </r>
  <r>
    <x v="8"/>
    <x v="0"/>
    <x v="5"/>
    <x v="1"/>
    <s v="Construction and Extraction"/>
    <s v="Brickmasons and Blockmasons"/>
    <s v="Craft Workers"/>
    <s v="47-2021"/>
    <x v="2"/>
    <x v="0"/>
    <n v="1"/>
    <n v="10.5"/>
    <n v="374.54"/>
  </r>
  <r>
    <x v="8"/>
    <x v="0"/>
    <x v="5"/>
    <x v="1"/>
    <s v="Construction and Extraction"/>
    <s v="Brickmasons and Blockmasons"/>
    <s v="Craft Workers"/>
    <s v="47-2021"/>
    <x v="0"/>
    <x v="0"/>
    <n v="3"/>
    <n v="41.5"/>
    <n v="1595.47"/>
  </r>
  <r>
    <x v="5"/>
    <x v="0"/>
    <x v="5"/>
    <x v="1"/>
    <s v="Construction and Extraction"/>
    <s v="Electricians"/>
    <s v="Craft Workers"/>
    <s v="47-2111"/>
    <x v="2"/>
    <x v="0"/>
    <n v="1"/>
    <n v="9"/>
    <n v="270"/>
  </r>
  <r>
    <x v="5"/>
    <x v="0"/>
    <x v="5"/>
    <x v="1"/>
    <s v="Construction and Extraction"/>
    <s v="Electricians"/>
    <s v="Craft Workers"/>
    <s v="47-2111"/>
    <x v="0"/>
    <x v="0"/>
    <n v="3"/>
    <n v="42"/>
    <n v="1952"/>
  </r>
  <r>
    <x v="5"/>
    <x v="0"/>
    <x v="5"/>
    <x v="1"/>
    <s v="Construction and Extraction"/>
    <s v="Electricians"/>
    <s v="Craft Workers"/>
    <s v="47-2111"/>
    <x v="0"/>
    <x v="1"/>
    <n v="0"/>
    <n v="0"/>
    <m/>
  </r>
  <r>
    <x v="5"/>
    <x v="0"/>
    <x v="5"/>
    <x v="1"/>
    <s v="Construction and Extraction"/>
    <s v="Electricians"/>
    <s v="Craft Workers"/>
    <s v="47-2111"/>
    <x v="2"/>
    <x v="1"/>
    <n v="0"/>
    <n v="0"/>
    <m/>
  </r>
  <r>
    <x v="4"/>
    <x v="0"/>
    <x v="5"/>
    <x v="1"/>
    <s v="Construction and Extraction"/>
    <s v="Operating Engineers and Other Construction Equipment Operators"/>
    <s v="Craft Workers"/>
    <s v="47-2073"/>
    <x v="0"/>
    <x v="0"/>
    <n v="1"/>
    <n v="17"/>
    <n v="1260.72"/>
  </r>
  <r>
    <x v="4"/>
    <x v="0"/>
    <x v="5"/>
    <x v="1"/>
    <s v="Construction and Extraction"/>
    <s v="Plumbers, Pipefitters, and Steamfitters"/>
    <s v="Craft Workers"/>
    <s v="47-2152"/>
    <x v="0"/>
    <x v="0"/>
    <n v="3"/>
    <n v="302"/>
    <n v="20810.82"/>
  </r>
  <r>
    <x v="4"/>
    <x v="0"/>
    <x v="5"/>
    <x v="1"/>
    <s v="Construction and Extraction"/>
    <s v="Plumbers, Pipefitters, and Steamfitters"/>
    <s v="Craft Workers"/>
    <s v="47-2152"/>
    <x v="0"/>
    <x v="1"/>
    <n v="0"/>
    <n v="0"/>
    <m/>
  </r>
  <r>
    <x v="4"/>
    <x v="0"/>
    <x v="5"/>
    <x v="1"/>
    <s v="Construction and Extraction"/>
    <s v="Operating Engineers and Other Construction Equipment Operators"/>
    <s v="Craft Workers"/>
    <s v="47-2073"/>
    <x v="0"/>
    <x v="1"/>
    <n v="0"/>
    <n v="0"/>
    <m/>
  </r>
  <r>
    <x v="2"/>
    <x v="0"/>
    <x v="5"/>
    <x v="1"/>
    <s v="Construction and Extraction"/>
    <s v="First-Line Supervisors of Construction Trades and Extraction Workers"/>
    <s v="Craft Workers"/>
    <s v="47-1011"/>
    <x v="0"/>
    <x v="0"/>
    <n v="4"/>
    <n v="572"/>
    <n v="35377.279999999999"/>
  </r>
  <r>
    <x v="2"/>
    <x v="0"/>
    <x v="5"/>
    <x v="1"/>
    <s v="Construction and Extraction"/>
    <s v="Hazardous Materials Removal Workers"/>
    <s v="Craft Workers"/>
    <s v="47-4041"/>
    <x v="0"/>
    <x v="0"/>
    <n v="5"/>
    <n v="733"/>
    <n v="34992.32"/>
  </r>
  <r>
    <x v="2"/>
    <x v="0"/>
    <x v="5"/>
    <x v="1"/>
    <s v="Construction and Extraction"/>
    <s v="First-Line Supervisors of Construction Trades and Extraction Workers"/>
    <s v="Craft Workers"/>
    <s v="47-1011"/>
    <x v="1"/>
    <x v="0"/>
    <n v="1"/>
    <n v="168"/>
    <n v="16800"/>
  </r>
  <r>
    <x v="2"/>
    <x v="0"/>
    <x v="5"/>
    <x v="1"/>
    <s v="Construction and Extraction"/>
    <s v="First-Line Supervisors of Construction Trades and Extraction Workers"/>
    <s v="Craft Workers"/>
    <s v="47-1011"/>
    <x v="2"/>
    <x v="0"/>
    <n v="1"/>
    <n v="120"/>
    <n v="6211.68"/>
  </r>
  <r>
    <x v="2"/>
    <x v="0"/>
    <x v="5"/>
    <x v="1"/>
    <s v="Construction and Extraction"/>
    <s v="Hazardous Materials Removal Workers"/>
    <s v="Craft Workers"/>
    <s v="47-4041"/>
    <x v="3"/>
    <x v="0"/>
    <n v="1"/>
    <n v="184"/>
    <n v="8529.6"/>
  </r>
  <r>
    <x v="7"/>
    <x v="1"/>
    <x v="6"/>
    <x v="2"/>
    <s v="Construction and Extraction"/>
    <s v="Reinforcing Iron and Rebar Workers"/>
    <s v="Craft Workers"/>
    <s v="47-2171"/>
    <x v="0"/>
    <x v="0"/>
    <n v="2"/>
    <n v="20"/>
    <m/>
  </r>
  <r>
    <x v="7"/>
    <x v="1"/>
    <x v="6"/>
    <x v="2"/>
    <s v="Construction and Extraction"/>
    <s v="Reinforcing Iron and Rebar Workers"/>
    <s v="Craft Workers"/>
    <s v="47-2171"/>
    <x v="0"/>
    <x v="1"/>
    <n v="0"/>
    <n v="0"/>
    <m/>
  </r>
  <r>
    <x v="0"/>
    <x v="1"/>
    <x v="6"/>
    <x v="2"/>
    <s v="Construction and Extraction"/>
    <s v="Plumbers, Pipefitters, and Steamfitters"/>
    <s v="Craft Workers"/>
    <s v="47-2152"/>
    <x v="0"/>
    <x v="0"/>
    <n v="3"/>
    <n v="456"/>
    <m/>
  </r>
  <r>
    <x v="0"/>
    <x v="1"/>
    <x v="6"/>
    <x v="2"/>
    <s v="Construction and Extraction"/>
    <s v="Plumbers, Pipefitters, and Steamfitters"/>
    <s v="Craft Workers"/>
    <s v="47-2152"/>
    <x v="0"/>
    <x v="1"/>
    <n v="0"/>
    <n v="0"/>
    <m/>
  </r>
  <r>
    <x v="9"/>
    <x v="1"/>
    <x v="6"/>
    <x v="2"/>
    <s v="Construction and Extraction"/>
    <s v="Construction Laborers"/>
    <s v="Labors and Helpers"/>
    <s v="47-2061"/>
    <x v="0"/>
    <x v="0"/>
    <n v="2"/>
    <n v="6"/>
    <n v="310.2"/>
  </r>
  <r>
    <x v="1"/>
    <x v="1"/>
    <x v="6"/>
    <x v="2"/>
    <m/>
    <m/>
    <m/>
    <m/>
    <x v="0"/>
    <x v="0"/>
    <n v="3"/>
    <n v="216"/>
    <m/>
  </r>
  <r>
    <x v="10"/>
    <x v="1"/>
    <x v="6"/>
    <x v="2"/>
    <s v="Construction and Extraction"/>
    <s v="Carpenters"/>
    <s v="Craft Workers"/>
    <s v="47-2031"/>
    <x v="0"/>
    <x v="0"/>
    <n v="9"/>
    <n v="796"/>
    <n v="23735.96"/>
  </r>
  <r>
    <x v="6"/>
    <x v="1"/>
    <x v="6"/>
    <x v="2"/>
    <m/>
    <m/>
    <m/>
    <m/>
    <x v="0"/>
    <x v="0"/>
    <n v="2"/>
    <n v="20"/>
    <m/>
  </r>
  <r>
    <x v="8"/>
    <x v="1"/>
    <x v="6"/>
    <x v="2"/>
    <s v="Construction and Extraction"/>
    <s v="Brickmasons and Blockmasons"/>
    <s v="Craft Workers"/>
    <s v="47-2021"/>
    <x v="2"/>
    <x v="0"/>
    <n v="1"/>
    <n v="10.5"/>
    <n v="383.45"/>
  </r>
  <r>
    <x v="8"/>
    <x v="1"/>
    <x v="6"/>
    <x v="2"/>
    <s v="Construction and Extraction"/>
    <s v="Brickmasons and Blockmasons"/>
    <s v="Craft Workers"/>
    <s v="47-2021"/>
    <x v="0"/>
    <x v="0"/>
    <n v="2"/>
    <n v="39.5"/>
    <n v="1597.16"/>
  </r>
  <r>
    <x v="5"/>
    <x v="1"/>
    <x v="6"/>
    <x v="2"/>
    <m/>
    <m/>
    <m/>
    <m/>
    <x v="0"/>
    <x v="0"/>
    <n v="4"/>
    <n v="28"/>
    <m/>
  </r>
  <r>
    <x v="5"/>
    <x v="1"/>
    <x v="6"/>
    <x v="2"/>
    <m/>
    <m/>
    <m/>
    <m/>
    <x v="2"/>
    <x v="0"/>
    <n v="1"/>
    <n v="9"/>
    <m/>
  </r>
  <r>
    <x v="4"/>
    <x v="1"/>
    <x v="6"/>
    <x v="2"/>
    <m/>
    <m/>
    <m/>
    <m/>
    <x v="0"/>
    <x v="0"/>
    <n v="6"/>
    <n v="454.5"/>
    <m/>
  </r>
  <r>
    <x v="11"/>
    <x v="1"/>
    <x v="6"/>
    <x v="2"/>
    <s v="Installation, Maintenance, and Repair"/>
    <s v="Installation, Maintenance, and Repair Workers, All Other"/>
    <s v="Craft Workers"/>
    <s v="49-9099"/>
    <x v="0"/>
    <x v="0"/>
    <n v="7"/>
    <n v="229.25"/>
    <n v="12178.71"/>
  </r>
  <r>
    <x v="2"/>
    <x v="1"/>
    <x v="6"/>
    <x v="2"/>
    <s v="Construction and Extraction"/>
    <s v="First-Line Supervisors of Construction Trades and Extraction Workers"/>
    <s v="Craft Workers"/>
    <s v="47-1011"/>
    <x v="0"/>
    <x v="0"/>
    <n v="4"/>
    <n v="343"/>
    <n v="20649.78"/>
  </r>
  <r>
    <x v="2"/>
    <x v="1"/>
    <x v="6"/>
    <x v="2"/>
    <s v="Construction and Extraction"/>
    <s v="Hazardous Materials Removal Workers"/>
    <s v="Craft Workers"/>
    <s v="47-4041"/>
    <x v="0"/>
    <x v="0"/>
    <n v="5"/>
    <n v="597"/>
    <n v="28817.439999999999"/>
  </r>
  <r>
    <x v="2"/>
    <x v="1"/>
    <x v="6"/>
    <x v="2"/>
    <s v="Construction and Extraction"/>
    <s v="First-Line Supervisors of Construction Trades and Extraction Workers"/>
    <s v="Craft Workers"/>
    <s v="47-1011"/>
    <x v="1"/>
    <x v="0"/>
    <n v="1"/>
    <n v="128"/>
    <n v="12800"/>
  </r>
  <r>
    <x v="2"/>
    <x v="1"/>
    <x v="6"/>
    <x v="2"/>
    <s v="Construction and Extraction"/>
    <s v="Hazardous Materials Removal Workers"/>
    <s v="Craft Workers"/>
    <s v="47-4041"/>
    <x v="3"/>
    <x v="0"/>
    <n v="1"/>
    <n v="96"/>
    <n v="4627.2"/>
  </r>
  <r>
    <x v="12"/>
    <x v="1"/>
    <x v="7"/>
    <x v="2"/>
    <m/>
    <m/>
    <m/>
    <m/>
    <x v="0"/>
    <x v="0"/>
    <n v="8"/>
    <n v="66.5"/>
    <m/>
  </r>
  <r>
    <x v="13"/>
    <x v="1"/>
    <x v="7"/>
    <x v="2"/>
    <m/>
    <m/>
    <m/>
    <m/>
    <x v="0"/>
    <x v="0"/>
    <n v="9"/>
    <n v="583.5"/>
    <m/>
  </r>
  <r>
    <x v="13"/>
    <x v="1"/>
    <x v="7"/>
    <x v="2"/>
    <m/>
    <m/>
    <m/>
    <m/>
    <x v="4"/>
    <x v="0"/>
    <n v="1"/>
    <n v="40"/>
    <m/>
  </r>
  <r>
    <x v="0"/>
    <x v="1"/>
    <x v="7"/>
    <x v="2"/>
    <m/>
    <m/>
    <m/>
    <m/>
    <x v="0"/>
    <x v="0"/>
    <n v="6"/>
    <n v="633"/>
    <m/>
  </r>
  <r>
    <x v="9"/>
    <x v="1"/>
    <x v="7"/>
    <x v="2"/>
    <s v="Construction and Extraction"/>
    <s v="Roofers"/>
    <s v="Craft Workers"/>
    <s v="47-2181"/>
    <x v="0"/>
    <x v="0"/>
    <n v="4"/>
    <n v="74"/>
    <n v="3773.66"/>
  </r>
  <r>
    <x v="1"/>
    <x v="1"/>
    <x v="7"/>
    <x v="2"/>
    <m/>
    <m/>
    <m/>
    <m/>
    <x v="0"/>
    <x v="0"/>
    <n v="4"/>
    <n v="184"/>
    <m/>
  </r>
  <r>
    <x v="10"/>
    <x v="1"/>
    <x v="7"/>
    <x v="2"/>
    <s v="Construction and Extraction"/>
    <s v="Carpenters"/>
    <s v="Craft Workers"/>
    <s v="47-2031"/>
    <x v="0"/>
    <x v="0"/>
    <n v="2"/>
    <n v="56"/>
    <n v="1793.4"/>
  </r>
  <r>
    <x v="8"/>
    <x v="1"/>
    <x v="7"/>
    <x v="2"/>
    <s v="Construction and Extraction"/>
    <s v="Brickmasons and Blockmasons"/>
    <s v="Craft Workers"/>
    <s v="47-2021"/>
    <x v="0"/>
    <x v="0"/>
    <n v="3"/>
    <n v="44.5"/>
    <n v="1772.01"/>
  </r>
  <r>
    <x v="5"/>
    <x v="1"/>
    <x v="7"/>
    <x v="2"/>
    <m/>
    <m/>
    <m/>
    <m/>
    <x v="0"/>
    <x v="0"/>
    <n v="3"/>
    <n v="16"/>
    <m/>
  </r>
  <r>
    <x v="5"/>
    <x v="1"/>
    <x v="7"/>
    <x v="2"/>
    <m/>
    <m/>
    <m/>
    <m/>
    <x v="2"/>
    <x v="0"/>
    <n v="1"/>
    <n v="6"/>
    <m/>
  </r>
  <r>
    <x v="4"/>
    <x v="1"/>
    <x v="7"/>
    <x v="2"/>
    <m/>
    <m/>
    <m/>
    <m/>
    <x v="0"/>
    <x v="0"/>
    <n v="4"/>
    <n v="304"/>
    <m/>
  </r>
  <r>
    <x v="11"/>
    <x v="1"/>
    <x v="7"/>
    <x v="2"/>
    <s v="Installation, Maintenance, and Repair"/>
    <s v="Installation, Maintenance, and Repair Workers, All Other"/>
    <s v="Craft Workers"/>
    <s v="49-9099"/>
    <x v="0"/>
    <x v="0"/>
    <n v="6"/>
    <n v="199.5"/>
    <n v="10569.66"/>
  </r>
  <r>
    <x v="2"/>
    <x v="1"/>
    <x v="7"/>
    <x v="2"/>
    <s v="Construction and Extraction"/>
    <s v="First-Line Supervisors of Construction Trades and Extraction Workers"/>
    <s v="Craft Workers"/>
    <s v="47-1011"/>
    <x v="0"/>
    <x v="0"/>
    <n v="4"/>
    <n v="444.5"/>
    <n v="26275.23"/>
  </r>
  <r>
    <x v="2"/>
    <x v="1"/>
    <x v="7"/>
    <x v="2"/>
    <s v="Construction and Extraction"/>
    <s v="Hazardous Materials Removal Workers"/>
    <s v="Craft Workers"/>
    <s v="47-4041"/>
    <x v="0"/>
    <x v="0"/>
    <n v="4"/>
    <n v="456"/>
    <n v="22588.240000000002"/>
  </r>
  <r>
    <x v="2"/>
    <x v="1"/>
    <x v="7"/>
    <x v="2"/>
    <s v="Construction and Extraction"/>
    <s v="First-Line Supervisors of Construction Trades and Extraction Workers"/>
    <s v="Craft Workers"/>
    <s v="47-1011"/>
    <x v="1"/>
    <x v="0"/>
    <n v="1"/>
    <n v="88"/>
    <n v="8800"/>
  </r>
  <r>
    <x v="13"/>
    <x v="1"/>
    <x v="8"/>
    <x v="2"/>
    <m/>
    <m/>
    <m/>
    <m/>
    <x v="0"/>
    <x v="0"/>
    <n v="9"/>
    <n v="1245.5"/>
    <m/>
  </r>
  <r>
    <x v="13"/>
    <x v="1"/>
    <x v="8"/>
    <x v="2"/>
    <m/>
    <m/>
    <m/>
    <m/>
    <x v="4"/>
    <x v="0"/>
    <n v="1"/>
    <n v="192"/>
    <m/>
  </r>
  <r>
    <x v="0"/>
    <x v="1"/>
    <x v="8"/>
    <x v="2"/>
    <m/>
    <m/>
    <m/>
    <m/>
    <x v="0"/>
    <x v="0"/>
    <n v="8"/>
    <n v="1120"/>
    <m/>
  </r>
  <r>
    <x v="1"/>
    <x v="1"/>
    <x v="8"/>
    <x v="2"/>
    <m/>
    <m/>
    <m/>
    <m/>
    <x v="0"/>
    <x v="0"/>
    <n v="3"/>
    <n v="132"/>
    <m/>
  </r>
  <r>
    <x v="10"/>
    <x v="1"/>
    <x v="8"/>
    <x v="2"/>
    <s v="Construction and Extraction"/>
    <s v="Carpenters"/>
    <s v="Craft Workers"/>
    <s v="47-2031"/>
    <x v="0"/>
    <x v="0"/>
    <n v="2"/>
    <n v="8"/>
    <n v="256.2"/>
  </r>
  <r>
    <x v="8"/>
    <x v="1"/>
    <x v="8"/>
    <x v="2"/>
    <s v="Construction and Extraction"/>
    <s v="Brickmasons and Blockmasons"/>
    <s v="Craft Workers"/>
    <s v="47-2021"/>
    <x v="0"/>
    <x v="0"/>
    <n v="3"/>
    <n v="200"/>
    <n v="7901.56"/>
  </r>
  <r>
    <x v="5"/>
    <x v="1"/>
    <x v="8"/>
    <x v="2"/>
    <m/>
    <m/>
    <m/>
    <m/>
    <x v="0"/>
    <x v="0"/>
    <n v="2"/>
    <n v="4"/>
    <m/>
  </r>
  <r>
    <x v="4"/>
    <x v="1"/>
    <x v="8"/>
    <x v="2"/>
    <s v="Construction and Extraction"/>
    <s v="Plumbers, Pipefitters, and Steamfitters"/>
    <s v="Craft Workers"/>
    <s v="47-2152"/>
    <x v="0"/>
    <x v="0"/>
    <n v="1"/>
    <n v="24"/>
    <n v="1653.84"/>
  </r>
  <r>
    <x v="11"/>
    <x v="1"/>
    <x v="8"/>
    <x v="2"/>
    <s v="Installation, Maintenance, and Repair"/>
    <s v="Installation, Maintenance, and Repair Workers, All Other"/>
    <s v="Craft Workers"/>
    <s v="49-9099"/>
    <x v="0"/>
    <x v="0"/>
    <n v="8"/>
    <n v="216.5"/>
    <n v="11592.24"/>
  </r>
  <r>
    <x v="2"/>
    <x v="1"/>
    <x v="8"/>
    <x v="2"/>
    <s v="Construction and Extraction"/>
    <s v="First-Line Supervisors of Construction Trades and Extraction Workers"/>
    <s v="Craft Workers"/>
    <s v="47-1011"/>
    <x v="0"/>
    <x v="0"/>
    <n v="4"/>
    <n v="380"/>
    <n v="21652.6"/>
  </r>
  <r>
    <x v="2"/>
    <x v="1"/>
    <x v="8"/>
    <x v="2"/>
    <s v="Construction and Extraction"/>
    <s v="Hazardous Materials Removal Workers"/>
    <s v="Craft Workers"/>
    <s v="47-4041"/>
    <x v="0"/>
    <x v="0"/>
    <n v="6"/>
    <n v="655"/>
    <n v="31296.6"/>
  </r>
  <r>
    <x v="2"/>
    <x v="1"/>
    <x v="8"/>
    <x v="2"/>
    <s v="Construction and Extraction"/>
    <s v="First-Line Supervisors of Construction Trades and Extraction Workers"/>
    <s v="Craft Workers"/>
    <s v="47-1011"/>
    <x v="1"/>
    <x v="0"/>
    <n v="1"/>
    <n v="56"/>
    <n v="5600"/>
  </r>
  <r>
    <x v="2"/>
    <x v="1"/>
    <x v="8"/>
    <x v="2"/>
    <s v="Construction and Extraction"/>
    <s v="Hazardous Materials Removal Workers"/>
    <s v="Craft Workers"/>
    <s v="47-4041"/>
    <x v="2"/>
    <x v="0"/>
    <n v="1"/>
    <n v="80"/>
    <n v="4016"/>
  </r>
  <r>
    <x v="2"/>
    <x v="1"/>
    <x v="8"/>
    <x v="2"/>
    <s v="Construction and Extraction"/>
    <s v="Hazardous Materials Removal Workers"/>
    <s v="Craft Workers"/>
    <s v="47-4041"/>
    <x v="3"/>
    <x v="0"/>
    <n v="2"/>
    <n v="144"/>
    <n v="7228.8"/>
  </r>
  <r>
    <x v="13"/>
    <x v="1"/>
    <x v="9"/>
    <x v="3"/>
    <m/>
    <m/>
    <m/>
    <m/>
    <x v="0"/>
    <x v="0"/>
    <n v="10"/>
    <n v="1089"/>
    <m/>
  </r>
  <r>
    <x v="13"/>
    <x v="1"/>
    <x v="9"/>
    <x v="3"/>
    <m/>
    <m/>
    <m/>
    <m/>
    <x v="4"/>
    <x v="0"/>
    <n v="1"/>
    <n v="148"/>
    <m/>
  </r>
  <r>
    <x v="9"/>
    <x v="1"/>
    <x v="9"/>
    <x v="3"/>
    <s v="Construction and Extraction"/>
    <s v="Construction Laborers"/>
    <s v="Labors and Helpers"/>
    <s v="47-2061"/>
    <x v="0"/>
    <x v="0"/>
    <n v="7"/>
    <n v="42"/>
    <n v="2166.4"/>
  </r>
  <r>
    <x v="9"/>
    <x v="1"/>
    <x v="9"/>
    <x v="3"/>
    <s v="Construction and Extraction"/>
    <s v="Brickmasons and Blockmasons"/>
    <s v="Craft Workers"/>
    <s v="47-2021"/>
    <x v="0"/>
    <x v="0"/>
    <n v="6"/>
    <n v="114"/>
    <n v="6882.18"/>
  </r>
  <r>
    <x v="9"/>
    <x v="1"/>
    <x v="9"/>
    <x v="3"/>
    <s v="Construction and Extraction"/>
    <s v="Roofers"/>
    <s v="Craft Workers"/>
    <s v="47-2181"/>
    <x v="0"/>
    <x v="0"/>
    <n v="5"/>
    <n v="147"/>
    <n v="7530.98"/>
  </r>
  <r>
    <x v="1"/>
    <x v="1"/>
    <x v="9"/>
    <x v="3"/>
    <m/>
    <m/>
    <m/>
    <m/>
    <x v="0"/>
    <x v="0"/>
    <n v="9"/>
    <n v="72"/>
    <m/>
  </r>
  <r>
    <x v="10"/>
    <x v="1"/>
    <x v="9"/>
    <x v="3"/>
    <s v="Construction and Extraction"/>
    <s v="Carpenters"/>
    <s v="Craft Workers"/>
    <s v="47-2031"/>
    <x v="0"/>
    <x v="0"/>
    <n v="4"/>
    <n v="174"/>
    <n v="5154.5"/>
  </r>
  <r>
    <x v="8"/>
    <x v="1"/>
    <x v="9"/>
    <x v="3"/>
    <s v="Construction and Extraction"/>
    <s v="Brickmasons and Blockmasons"/>
    <s v="Craft Workers"/>
    <s v="47-2021"/>
    <x v="0"/>
    <x v="0"/>
    <n v="5"/>
    <n v="418.5"/>
    <n v="14817.65"/>
  </r>
  <r>
    <x v="5"/>
    <x v="1"/>
    <x v="9"/>
    <x v="3"/>
    <s v="Construction and Extraction"/>
    <s v="Electricians"/>
    <s v="Craft Workers"/>
    <s v="47-2111"/>
    <x v="0"/>
    <x v="0"/>
    <n v="6"/>
    <n v="372"/>
    <n v="14537"/>
  </r>
  <r>
    <x v="4"/>
    <x v="1"/>
    <x v="9"/>
    <x v="3"/>
    <m/>
    <m/>
    <m/>
    <m/>
    <x v="0"/>
    <x v="0"/>
    <n v="1"/>
    <n v="6"/>
    <m/>
  </r>
  <r>
    <x v="11"/>
    <x v="1"/>
    <x v="9"/>
    <x v="3"/>
    <s v="Installation, Maintenance, and Repair"/>
    <s v="Installation, Maintenance, and Repair Workers, All Other"/>
    <s v="Craft Workers"/>
    <s v="49-9099"/>
    <x v="0"/>
    <x v="0"/>
    <n v="1"/>
    <n v="19"/>
    <n v="590.9"/>
  </r>
  <r>
    <x v="2"/>
    <x v="1"/>
    <x v="9"/>
    <x v="3"/>
    <s v="Construction and Extraction"/>
    <s v="First-Line Supervisors of Construction Trades and Extraction Workers"/>
    <s v="Craft Workers"/>
    <s v="47-1011"/>
    <x v="0"/>
    <x v="0"/>
    <n v="2"/>
    <n v="198"/>
    <n v="11470.24"/>
  </r>
  <r>
    <x v="2"/>
    <x v="1"/>
    <x v="9"/>
    <x v="3"/>
    <s v="Construction and Extraction"/>
    <s v="Hazardous Materials Removal Workers"/>
    <s v="Craft Workers"/>
    <s v="47-4041"/>
    <x v="0"/>
    <x v="0"/>
    <n v="4"/>
    <n v="432"/>
    <n v="20430.080000000002"/>
  </r>
  <r>
    <x v="2"/>
    <x v="1"/>
    <x v="9"/>
    <x v="3"/>
    <s v="Construction and Extraction"/>
    <s v="First-Line Supervisors of Construction Trades and Extraction Workers"/>
    <s v="Craft Workers"/>
    <s v="47-1011"/>
    <x v="1"/>
    <x v="0"/>
    <n v="1"/>
    <n v="56"/>
    <n v="5600"/>
  </r>
  <r>
    <x v="2"/>
    <x v="1"/>
    <x v="9"/>
    <x v="3"/>
    <s v="Construction and Extraction"/>
    <s v="First-Line Supervisors of Construction Trades and Extraction Workers"/>
    <s v="Craft Workers"/>
    <s v="47-1011"/>
    <x v="2"/>
    <x v="0"/>
    <n v="1"/>
    <n v="42"/>
    <n v="2134.4"/>
  </r>
  <r>
    <x v="2"/>
    <x v="1"/>
    <x v="9"/>
    <x v="3"/>
    <s v="Construction and Extraction"/>
    <s v="Hazardous Materials Removal Workers"/>
    <s v="Craft Workers"/>
    <s v="47-4041"/>
    <x v="3"/>
    <x v="0"/>
    <n v="2"/>
    <n v="184"/>
    <n v="8875.2000000000007"/>
  </r>
  <r>
    <x v="2"/>
    <x v="1"/>
    <x v="9"/>
    <x v="3"/>
    <s v="Construction and Extraction"/>
    <s v="Hazardous Materials Removal Workers"/>
    <s v="Craft Workers"/>
    <s v="47-4041"/>
    <x v="2"/>
    <x v="0"/>
    <n v="2"/>
    <n v="160"/>
    <n v="7742.4"/>
  </r>
  <r>
    <x v="14"/>
    <x v="1"/>
    <x v="9"/>
    <x v="3"/>
    <s v="Construction and Extraction"/>
    <s v="Roofers"/>
    <s v="Craft Workers"/>
    <s v="47-2181"/>
    <x v="1"/>
    <x v="0"/>
    <n v="1"/>
    <n v="6"/>
    <n v="183"/>
  </r>
  <r>
    <x v="14"/>
    <x v="1"/>
    <x v="9"/>
    <x v="3"/>
    <s v="Construction and Extraction"/>
    <s v="Roofers"/>
    <s v="Craft Workers"/>
    <s v="47-2181"/>
    <x v="0"/>
    <x v="0"/>
    <n v="2"/>
    <n v="14"/>
    <n v="451.4"/>
  </r>
  <r>
    <x v="15"/>
    <x v="1"/>
    <x v="10"/>
    <x v="3"/>
    <s v="Installation, Maintenance, and Repair"/>
    <s v="Heating, Air Conditioning, and Refrigeration Mechanics and Installers"/>
    <s v="Craft Workers"/>
    <s v="49-9021"/>
    <x v="0"/>
    <x v="0"/>
    <n v="3"/>
    <n v="336"/>
    <n v="11300.8"/>
  </r>
  <r>
    <x v="13"/>
    <x v="1"/>
    <x v="10"/>
    <x v="3"/>
    <m/>
    <m/>
    <m/>
    <m/>
    <x v="0"/>
    <x v="0"/>
    <n v="8"/>
    <n v="463"/>
    <m/>
  </r>
  <r>
    <x v="13"/>
    <x v="1"/>
    <x v="10"/>
    <x v="3"/>
    <m/>
    <m/>
    <m/>
    <m/>
    <x v="4"/>
    <x v="0"/>
    <n v="1"/>
    <n v="148"/>
    <m/>
  </r>
  <r>
    <x v="0"/>
    <x v="1"/>
    <x v="10"/>
    <x v="3"/>
    <m/>
    <m/>
    <m/>
    <m/>
    <x v="0"/>
    <x v="0"/>
    <n v="6"/>
    <n v="579"/>
    <m/>
  </r>
  <r>
    <x v="9"/>
    <x v="1"/>
    <x v="10"/>
    <x v="3"/>
    <s v="Construction and Extraction"/>
    <s v="Construction Laborers"/>
    <s v="Labors and Helpers"/>
    <s v="47-2061"/>
    <x v="0"/>
    <x v="0"/>
    <n v="2"/>
    <n v="2"/>
    <n v="102.65"/>
  </r>
  <r>
    <x v="1"/>
    <x v="1"/>
    <x v="10"/>
    <x v="3"/>
    <m/>
    <m/>
    <m/>
    <m/>
    <x v="1"/>
    <x v="0"/>
    <n v="1"/>
    <n v="1"/>
    <m/>
  </r>
  <r>
    <x v="10"/>
    <x v="1"/>
    <x v="10"/>
    <x v="3"/>
    <s v="Construction and Extraction"/>
    <s v="Carpenters"/>
    <s v="Craft Workers"/>
    <s v="47-2031"/>
    <x v="0"/>
    <x v="0"/>
    <n v="4"/>
    <n v="541"/>
    <n v="15765.45"/>
  </r>
  <r>
    <x v="8"/>
    <x v="1"/>
    <x v="10"/>
    <x v="3"/>
    <s v="Construction and Extraction"/>
    <s v="Brickmasons and Blockmasons"/>
    <s v="Craft Workers"/>
    <s v="47-2021"/>
    <x v="2"/>
    <x v="0"/>
    <n v="1"/>
    <n v="3"/>
    <n v="108.54"/>
  </r>
  <r>
    <x v="8"/>
    <x v="1"/>
    <x v="10"/>
    <x v="3"/>
    <s v="Construction and Extraction"/>
    <s v="Brickmasons and Blockmasons"/>
    <s v="Craft Workers"/>
    <s v="47-2021"/>
    <x v="0"/>
    <x v="0"/>
    <n v="9"/>
    <n v="798"/>
    <n v="28257.98"/>
  </r>
  <r>
    <x v="4"/>
    <x v="1"/>
    <x v="10"/>
    <x v="3"/>
    <m/>
    <m/>
    <m/>
    <m/>
    <x v="0"/>
    <x v="0"/>
    <n v="4"/>
    <n v="440"/>
    <m/>
  </r>
  <r>
    <x v="2"/>
    <x v="1"/>
    <x v="10"/>
    <x v="3"/>
    <s v="Construction and Extraction"/>
    <s v="First-Line Supervisors of Construction Trades and Extraction Workers"/>
    <s v="Craft Workers"/>
    <s v="47-1011"/>
    <x v="0"/>
    <x v="0"/>
    <n v="2"/>
    <n v="73"/>
    <n v="3870.18"/>
  </r>
  <r>
    <x v="2"/>
    <x v="1"/>
    <x v="10"/>
    <x v="3"/>
    <s v="Construction and Extraction"/>
    <s v="Hazardous Materials Removal Workers"/>
    <s v="Craft Workers"/>
    <s v="47-4041"/>
    <x v="0"/>
    <x v="0"/>
    <n v="3"/>
    <n v="96"/>
    <n v="4519.6000000000004"/>
  </r>
  <r>
    <x v="2"/>
    <x v="1"/>
    <x v="10"/>
    <x v="3"/>
    <s v="Construction and Extraction"/>
    <s v="First-Line Supervisors of Construction Trades and Extraction Workers"/>
    <s v="Craft Workers"/>
    <s v="47-1011"/>
    <x v="1"/>
    <x v="0"/>
    <n v="1"/>
    <n v="16"/>
    <n v="1600"/>
  </r>
  <r>
    <x v="2"/>
    <x v="1"/>
    <x v="10"/>
    <x v="3"/>
    <s v="Construction and Extraction"/>
    <s v="Hazardous Materials Removal Workers"/>
    <s v="Craft Workers"/>
    <s v="47-4041"/>
    <x v="3"/>
    <x v="0"/>
    <n v="1"/>
    <n v="56"/>
    <n v="2705.2"/>
  </r>
  <r>
    <x v="2"/>
    <x v="1"/>
    <x v="10"/>
    <x v="3"/>
    <s v="Construction and Extraction"/>
    <s v="Hazardous Materials Removal Workers"/>
    <s v="Craft Workers"/>
    <s v="47-4041"/>
    <x v="2"/>
    <x v="0"/>
    <n v="1"/>
    <n v="32"/>
    <n v="1548.4"/>
  </r>
  <r>
    <x v="14"/>
    <x v="1"/>
    <x v="10"/>
    <x v="3"/>
    <s v="Construction and Extraction"/>
    <s v="Roofers"/>
    <s v="Craft Workers"/>
    <s v="47-2181"/>
    <x v="0"/>
    <x v="1"/>
    <n v="1"/>
    <n v="34"/>
    <n v="1111.26"/>
  </r>
  <r>
    <x v="14"/>
    <x v="1"/>
    <x v="10"/>
    <x v="3"/>
    <s v="Construction and Extraction"/>
    <s v="Roofers"/>
    <s v="Craft Workers"/>
    <s v="47-2181"/>
    <x v="1"/>
    <x v="0"/>
    <n v="1"/>
    <n v="35"/>
    <n v="1148.8800000000001"/>
  </r>
  <r>
    <x v="14"/>
    <x v="1"/>
    <x v="10"/>
    <x v="3"/>
    <s v="Construction and Extraction"/>
    <s v="Roofers"/>
    <s v="Craft Workers"/>
    <s v="47-2181"/>
    <x v="0"/>
    <x v="0"/>
    <n v="8"/>
    <n v="184.5"/>
    <n v="6361.46"/>
  </r>
  <r>
    <x v="7"/>
    <x v="1"/>
    <x v="11"/>
    <x v="3"/>
    <m/>
    <m/>
    <m/>
    <m/>
    <x v="0"/>
    <x v="0"/>
    <n v="1"/>
    <n v="8"/>
    <m/>
  </r>
  <r>
    <x v="12"/>
    <x v="1"/>
    <x v="11"/>
    <x v="3"/>
    <m/>
    <m/>
    <m/>
    <m/>
    <x v="0"/>
    <x v="0"/>
    <n v="9"/>
    <n v="69"/>
    <m/>
  </r>
  <r>
    <x v="12"/>
    <x v="1"/>
    <x v="11"/>
    <x v="3"/>
    <m/>
    <m/>
    <m/>
    <m/>
    <x v="2"/>
    <x v="0"/>
    <n v="1"/>
    <n v="9"/>
    <m/>
  </r>
  <r>
    <x v="15"/>
    <x v="1"/>
    <x v="11"/>
    <x v="3"/>
    <m/>
    <m/>
    <m/>
    <m/>
    <x v="0"/>
    <x v="0"/>
    <n v="4"/>
    <n v="400"/>
    <m/>
  </r>
  <r>
    <x v="13"/>
    <x v="1"/>
    <x v="11"/>
    <x v="3"/>
    <m/>
    <m/>
    <m/>
    <m/>
    <x v="0"/>
    <x v="0"/>
    <n v="7"/>
    <n v="506"/>
    <m/>
  </r>
  <r>
    <x v="0"/>
    <x v="1"/>
    <x v="11"/>
    <x v="3"/>
    <s v="Construction and Extraction"/>
    <s v="Plumbers, Pipefitters, and Steamfitters"/>
    <s v="Craft Workers"/>
    <s v="47-2152"/>
    <x v="0"/>
    <x v="0"/>
    <n v="7"/>
    <n v="724"/>
    <n v="30701.14"/>
  </r>
  <r>
    <x v="1"/>
    <x v="1"/>
    <x v="11"/>
    <x v="3"/>
    <m/>
    <m/>
    <m/>
    <m/>
    <x v="0"/>
    <x v="0"/>
    <n v="1"/>
    <n v="27.5"/>
    <m/>
  </r>
  <r>
    <x v="10"/>
    <x v="1"/>
    <x v="11"/>
    <x v="3"/>
    <s v="Construction and Extraction"/>
    <s v="Carpenters"/>
    <s v="Craft Workers"/>
    <s v="47-2031"/>
    <x v="0"/>
    <x v="0"/>
    <n v="5"/>
    <n v="438"/>
    <n v="12446.95"/>
  </r>
  <r>
    <x v="8"/>
    <x v="1"/>
    <x v="11"/>
    <x v="3"/>
    <s v="Construction and Extraction"/>
    <s v="Brickmasons and Blockmasons"/>
    <s v="Craft Workers"/>
    <s v="47-2021"/>
    <x v="0"/>
    <x v="0"/>
    <n v="8"/>
    <n v="858"/>
    <n v="29808.83"/>
  </r>
  <r>
    <x v="5"/>
    <x v="1"/>
    <x v="11"/>
    <x v="3"/>
    <s v="Construction and Extraction"/>
    <s v="Electricians"/>
    <s v="Craft Workers"/>
    <s v="47-2111"/>
    <x v="0"/>
    <x v="0"/>
    <n v="7"/>
    <n v="583"/>
    <n v="23214.55"/>
  </r>
  <r>
    <x v="4"/>
    <x v="1"/>
    <x v="11"/>
    <x v="3"/>
    <m/>
    <m/>
    <m/>
    <m/>
    <x v="0"/>
    <x v="0"/>
    <n v="4"/>
    <n v="592.5"/>
    <m/>
  </r>
  <r>
    <x v="11"/>
    <x v="1"/>
    <x v="11"/>
    <x v="3"/>
    <s v="Installation, Maintenance, and Repair"/>
    <s v="Installation, Maintenance, and Repair Workers, All Other"/>
    <s v="Craft Workers"/>
    <s v="49-9099"/>
    <x v="0"/>
    <x v="0"/>
    <n v="9"/>
    <n v="111.5"/>
    <n v="5907.32"/>
  </r>
  <r>
    <x v="16"/>
    <x v="1"/>
    <x v="11"/>
    <x v="3"/>
    <m/>
    <m/>
    <m/>
    <m/>
    <x v="0"/>
    <x v="0"/>
    <n v="6"/>
    <n v="121"/>
    <m/>
  </r>
  <r>
    <x v="2"/>
    <x v="1"/>
    <x v="11"/>
    <x v="3"/>
    <s v="Construction and Extraction"/>
    <s v="First-Line Supervisors of Construction Trades and Extraction Workers"/>
    <s v="Craft Workers"/>
    <s v="47-1011"/>
    <x v="0"/>
    <x v="0"/>
    <n v="3"/>
    <n v="218"/>
    <n v="11584.1"/>
  </r>
  <r>
    <x v="2"/>
    <x v="1"/>
    <x v="11"/>
    <x v="3"/>
    <s v="Construction and Extraction"/>
    <s v="Hazardous Materials Removal Workers"/>
    <s v="Craft Workers"/>
    <s v="47-4041"/>
    <x v="0"/>
    <x v="0"/>
    <n v="4"/>
    <n v="232"/>
    <n v="11010.22"/>
  </r>
  <r>
    <x v="2"/>
    <x v="1"/>
    <x v="11"/>
    <x v="3"/>
    <s v="Construction and Extraction"/>
    <s v="First-Line Supervisors of Construction Trades and Extraction Workers"/>
    <s v="Craft Workers"/>
    <s v="47-1011"/>
    <x v="1"/>
    <x v="0"/>
    <n v="1"/>
    <n v="43.5"/>
    <n v="4549.0200000000004"/>
  </r>
  <r>
    <x v="2"/>
    <x v="1"/>
    <x v="11"/>
    <x v="3"/>
    <s v="Construction and Extraction"/>
    <s v="Hazardous Materials Removal Workers"/>
    <s v="Craft Workers"/>
    <s v="47-4041"/>
    <x v="3"/>
    <x v="0"/>
    <n v="1"/>
    <n v="158"/>
    <n v="7721.6"/>
  </r>
  <r>
    <x v="2"/>
    <x v="1"/>
    <x v="11"/>
    <x v="3"/>
    <s v="Construction and Extraction"/>
    <s v="Hazardous Materials Removal Workers"/>
    <s v="Craft Workers"/>
    <s v="47-4041"/>
    <x v="2"/>
    <x v="0"/>
    <n v="2"/>
    <n v="161"/>
    <n v="7851.22"/>
  </r>
  <r>
    <x v="14"/>
    <x v="1"/>
    <x v="11"/>
    <x v="3"/>
    <s v="Construction and Extraction"/>
    <s v="Sheet Metal Workers"/>
    <s v="Craft Workers"/>
    <s v="47-2211"/>
    <x v="0"/>
    <x v="0"/>
    <n v="1"/>
    <n v="2"/>
    <n v="80.14"/>
  </r>
  <r>
    <x v="14"/>
    <x v="1"/>
    <x v="11"/>
    <x v="3"/>
    <s v="Construction and Extraction"/>
    <s v="Roofers"/>
    <s v="Craft Workers"/>
    <s v="47-2181"/>
    <x v="1"/>
    <x v="0"/>
    <n v="1"/>
    <n v="142.5"/>
    <n v="4821.6099999999997"/>
  </r>
  <r>
    <x v="14"/>
    <x v="1"/>
    <x v="11"/>
    <x v="3"/>
    <s v="Construction and Extraction"/>
    <s v="Roofers"/>
    <s v="Craft Workers"/>
    <s v="47-2181"/>
    <x v="0"/>
    <x v="0"/>
    <n v="6"/>
    <n v="577.5"/>
    <n v="18883.080000000002"/>
  </r>
  <r>
    <x v="17"/>
    <x v="1"/>
    <x v="12"/>
    <x v="0"/>
    <m/>
    <m/>
    <m/>
    <m/>
    <x v="0"/>
    <x v="0"/>
    <n v="2"/>
    <n v="20"/>
    <m/>
  </r>
  <r>
    <x v="17"/>
    <x v="1"/>
    <x v="12"/>
    <x v="0"/>
    <m/>
    <m/>
    <m/>
    <m/>
    <x v="0"/>
    <x v="1"/>
    <n v="0"/>
    <n v="0"/>
    <m/>
  </r>
  <r>
    <x v="13"/>
    <x v="1"/>
    <x v="12"/>
    <x v="0"/>
    <s v="Installation, Maintenance, and Repair"/>
    <s v="Heating, Air Conditioning, and Refrigeration Mechanics and Installers"/>
    <s v="Craft Workers"/>
    <s v="49-9022"/>
    <x v="0"/>
    <x v="0"/>
    <n v="6"/>
    <n v="615"/>
    <m/>
  </r>
  <r>
    <x v="13"/>
    <x v="1"/>
    <x v="12"/>
    <x v="0"/>
    <s v="Installation, Maintenance, and Repair"/>
    <s v="Heating, Air Conditioning, and Refrigeration Mechanics and Installers"/>
    <s v="Craft Workers"/>
    <s v="49-9023"/>
    <x v="4"/>
    <x v="0"/>
    <n v="1"/>
    <n v="148"/>
    <m/>
  </r>
  <r>
    <x v="13"/>
    <x v="1"/>
    <x v="12"/>
    <x v="0"/>
    <s v="Installation, Maintenance, and Repair"/>
    <s v="Heating, Air Conditioning, and Refrigeration Mechanics and Installers"/>
    <s v="Craft Workers"/>
    <s v="49-9024"/>
    <x v="0"/>
    <x v="1"/>
    <n v="0"/>
    <n v="0"/>
    <m/>
  </r>
  <r>
    <x v="13"/>
    <x v="1"/>
    <x v="12"/>
    <x v="0"/>
    <s v="Installation, Maintenance, and Repair"/>
    <s v="Heating, Air Conditioning, and Refrigeration Mechanics and Installers"/>
    <s v="Craft Workers"/>
    <s v="49-9025"/>
    <x v="4"/>
    <x v="1"/>
    <n v="0"/>
    <n v="0"/>
    <m/>
  </r>
  <r>
    <x v="0"/>
    <x v="1"/>
    <x v="12"/>
    <x v="0"/>
    <s v="Construction and Extraction"/>
    <s v="Plumbers, Pipefitters, and Steamfitters"/>
    <s v="Craft Workers"/>
    <s v="47-2152"/>
    <x v="0"/>
    <x v="0"/>
    <n v="9"/>
    <n v="878"/>
    <n v="38438.400000000001"/>
  </r>
  <r>
    <x v="9"/>
    <x v="1"/>
    <x v="12"/>
    <x v="0"/>
    <s v="Construction and Extraction"/>
    <s v="Roofers"/>
    <s v="Craft Workers"/>
    <s v="47-2181"/>
    <x v="0"/>
    <x v="0"/>
    <n v="2"/>
    <n v="8"/>
    <n v="430.32"/>
  </r>
  <r>
    <x v="1"/>
    <x v="1"/>
    <x v="12"/>
    <x v="0"/>
    <m/>
    <m/>
    <m/>
    <m/>
    <x v="0"/>
    <x v="0"/>
    <n v="1"/>
    <n v="27.5"/>
    <m/>
  </r>
  <r>
    <x v="1"/>
    <x v="1"/>
    <x v="12"/>
    <x v="0"/>
    <m/>
    <m/>
    <m/>
    <m/>
    <x v="0"/>
    <x v="1"/>
    <n v="0"/>
    <n v="0"/>
    <m/>
  </r>
  <r>
    <x v="18"/>
    <x v="1"/>
    <x v="12"/>
    <x v="0"/>
    <s v="Construction and Extraction"/>
    <s v="Cement Masons and Concrete Finishers"/>
    <s v="Craft Workers"/>
    <s v="47-2051"/>
    <x v="0"/>
    <x v="0"/>
    <n v="2"/>
    <n v="16"/>
    <n v="538.88"/>
  </r>
  <r>
    <x v="10"/>
    <x v="1"/>
    <x v="12"/>
    <x v="0"/>
    <s v="Construction and Extraction"/>
    <s v="Carpenters"/>
    <s v="Craft Workers"/>
    <s v="47-2031"/>
    <x v="0"/>
    <x v="0"/>
    <n v="5"/>
    <n v="529"/>
    <n v="15379.03"/>
  </r>
  <r>
    <x v="8"/>
    <x v="1"/>
    <x v="12"/>
    <x v="0"/>
    <s v="Construction and Extraction"/>
    <s v="Brickmasons and Blockmasons"/>
    <s v="Craft Workers"/>
    <s v="47-2021"/>
    <x v="0"/>
    <x v="0"/>
    <n v="14"/>
    <n v="956.5"/>
    <n v="33308.85"/>
  </r>
  <r>
    <x v="2"/>
    <x v="1"/>
    <x v="12"/>
    <x v="0"/>
    <s v="Construction and Extraction"/>
    <s v="First-Line Supervisors of Construction Trades and Extraction Workers"/>
    <s v="Craft Workers"/>
    <s v="47-1011"/>
    <x v="0"/>
    <x v="0"/>
    <n v="3"/>
    <n v="164.5"/>
    <n v="8648.14"/>
  </r>
  <r>
    <x v="2"/>
    <x v="1"/>
    <x v="12"/>
    <x v="0"/>
    <s v="Construction and Extraction"/>
    <s v="First-Line Supervisors of Construction Trades and Extraction Workers"/>
    <s v="Craft Workers"/>
    <s v="47-1011"/>
    <x v="1"/>
    <x v="0"/>
    <n v="2"/>
    <n v="21.5"/>
    <n v="1888.72"/>
  </r>
  <r>
    <x v="2"/>
    <x v="1"/>
    <x v="12"/>
    <x v="0"/>
    <s v="Construction and Extraction"/>
    <s v="Hazardous Materials Removal Workers"/>
    <s v="Craft Workers"/>
    <s v="47-4041"/>
    <x v="3"/>
    <x v="0"/>
    <n v="2"/>
    <n v="192"/>
    <n v="9454.4"/>
  </r>
  <r>
    <x v="2"/>
    <x v="1"/>
    <x v="12"/>
    <x v="0"/>
    <s v="Construction and Extraction"/>
    <s v="Hazardous Materials Removal Workers"/>
    <s v="Craft Workers"/>
    <s v="47-4041"/>
    <x v="2"/>
    <x v="0"/>
    <n v="2"/>
    <n v="224"/>
    <n v="9425.6"/>
  </r>
  <r>
    <x v="14"/>
    <x v="1"/>
    <x v="12"/>
    <x v="0"/>
    <s v="Construction and Extraction"/>
    <s v="Roofers"/>
    <s v="Craft Workers"/>
    <s v="47-2181"/>
    <x v="1"/>
    <x v="0"/>
    <n v="1"/>
    <n v="5"/>
    <n v="153"/>
  </r>
  <r>
    <x v="14"/>
    <x v="1"/>
    <x v="12"/>
    <x v="0"/>
    <s v="Construction and Extraction"/>
    <s v="Roofers"/>
    <s v="Craft Workers"/>
    <s v="47-2181"/>
    <x v="4"/>
    <x v="0"/>
    <n v="1"/>
    <n v="5.5"/>
    <n v="168.3"/>
  </r>
  <r>
    <x v="14"/>
    <x v="1"/>
    <x v="12"/>
    <x v="0"/>
    <s v="Construction and Extraction"/>
    <s v="Sheet Metal Workers"/>
    <s v="Craft Workers"/>
    <s v="47-2211"/>
    <x v="0"/>
    <x v="0"/>
    <n v="2"/>
    <n v="12"/>
    <n v="489"/>
  </r>
  <r>
    <x v="14"/>
    <x v="1"/>
    <x v="12"/>
    <x v="0"/>
    <s v="Construction and Extraction"/>
    <s v="Roofers"/>
    <s v="Craft Workers"/>
    <s v="47-2181"/>
    <x v="0"/>
    <x v="0"/>
    <n v="9"/>
    <n v="236.5"/>
    <n v="7975.01"/>
  </r>
  <r>
    <x v="15"/>
    <x v="1"/>
    <x v="13"/>
    <x v="0"/>
    <s v="Installation, Maintenance, and Repair"/>
    <s v="Heating, Air Conditioning, and Refrigeration Mechanics and Installers"/>
    <s v="Craft Workers"/>
    <s v="49-9021"/>
    <x v="0"/>
    <x v="0"/>
    <n v="5"/>
    <n v="838"/>
    <n v="33823.58"/>
  </r>
  <r>
    <x v="15"/>
    <x v="1"/>
    <x v="13"/>
    <x v="0"/>
    <s v="Installation, Maintenance, and Repair"/>
    <s v="Heating, Air Conditioning, and Refrigeration Mechanics and Installers"/>
    <s v="Craft Workers"/>
    <s v="49-9021"/>
    <x v="0"/>
    <x v="1"/>
    <n v="0"/>
    <n v="0"/>
    <m/>
  </r>
  <r>
    <x v="18"/>
    <x v="1"/>
    <x v="13"/>
    <x v="0"/>
    <s v="Construction and Extraction"/>
    <s v="Cement Masons and Concrete Finishers"/>
    <s v="Craft Workers"/>
    <s v="47-2051"/>
    <x v="0"/>
    <x v="0"/>
    <n v="2"/>
    <n v="230"/>
    <n v="7746.4"/>
  </r>
  <r>
    <x v="10"/>
    <x v="1"/>
    <x v="13"/>
    <x v="0"/>
    <s v="Construction and Extraction"/>
    <s v="Carpenters"/>
    <s v="Craft Workers"/>
    <s v="47-2031"/>
    <x v="0"/>
    <x v="0"/>
    <n v="4"/>
    <n v="159"/>
    <n v="4333.1400000000003"/>
  </r>
  <r>
    <x v="8"/>
    <x v="1"/>
    <x v="13"/>
    <x v="0"/>
    <s v="Construction and Extraction"/>
    <s v="Brickmasons and Blockmasons"/>
    <s v="Craft Workers"/>
    <s v="47-2021"/>
    <x v="0"/>
    <x v="0"/>
    <n v="14"/>
    <n v="1214.5"/>
    <n v="44094.43"/>
  </r>
  <r>
    <x v="5"/>
    <x v="1"/>
    <x v="13"/>
    <x v="0"/>
    <s v="Construction and Extraction"/>
    <s v="Electricians"/>
    <s v="Craft Workers"/>
    <s v="47-2111"/>
    <x v="0"/>
    <x v="0"/>
    <n v="7"/>
    <n v="706"/>
    <n v="29056.13"/>
  </r>
  <r>
    <x v="4"/>
    <x v="1"/>
    <x v="13"/>
    <x v="0"/>
    <s v="Construction and Extraction"/>
    <s v="Plumbers, Pipefitters, and Steamfitters"/>
    <s v="Craft Workers"/>
    <s v="47-2152"/>
    <x v="0"/>
    <x v="0"/>
    <n v="8"/>
    <n v="948.5"/>
    <n v="68443.759999999995"/>
  </r>
  <r>
    <x v="4"/>
    <x v="1"/>
    <x v="13"/>
    <x v="0"/>
    <s v="Construction and Extraction"/>
    <s v="Plumbers, Pipefitters, and Steamfitters"/>
    <s v="Craft Workers"/>
    <s v="47-2152"/>
    <x v="0"/>
    <x v="1"/>
    <n v="0"/>
    <n v="0"/>
    <m/>
  </r>
  <r>
    <x v="16"/>
    <x v="1"/>
    <x v="13"/>
    <x v="0"/>
    <s v="Construction and Extraction"/>
    <s v="Insulation Workers, Mechanical"/>
    <s v="Craft Workers"/>
    <s v="47-2152"/>
    <x v="0"/>
    <x v="0"/>
    <n v="4"/>
    <n v="104"/>
    <n v="6233.01"/>
  </r>
  <r>
    <x v="16"/>
    <x v="1"/>
    <x v="13"/>
    <x v="0"/>
    <s v="Construction and Extraction"/>
    <s v="Insulation Workers, Mechanical"/>
    <s v="Craft Workers"/>
    <s v="47-2152"/>
    <x v="0"/>
    <x v="1"/>
    <n v="0"/>
    <n v="0"/>
    <m/>
  </r>
  <r>
    <x v="2"/>
    <x v="1"/>
    <x v="13"/>
    <x v="0"/>
    <s v="Construction and Extraction"/>
    <s v="First-Line Supervisors of Construction Trades and Extraction Workers"/>
    <s v="Craft Workers"/>
    <s v="47-1011"/>
    <x v="0"/>
    <x v="0"/>
    <n v="3"/>
    <n v="223"/>
    <n v="11765.66"/>
  </r>
  <r>
    <x v="2"/>
    <x v="1"/>
    <x v="13"/>
    <x v="0"/>
    <s v="Construction and Extraction"/>
    <s v="Hazardous Materials Removal Workers"/>
    <s v="Craft Workers"/>
    <s v="47-4041"/>
    <x v="0"/>
    <x v="0"/>
    <n v="2"/>
    <n v="212.5"/>
    <n v="10735"/>
  </r>
  <r>
    <x v="2"/>
    <x v="1"/>
    <x v="13"/>
    <x v="0"/>
    <s v="Construction and Extraction"/>
    <s v="First-Line Supervisors of Construction Trades and Extraction Workers"/>
    <s v="Craft Workers"/>
    <s v="47-1011"/>
    <x v="1"/>
    <x v="0"/>
    <n v="1"/>
    <n v="39.5"/>
    <n v="3950"/>
  </r>
  <r>
    <x v="2"/>
    <x v="1"/>
    <x v="13"/>
    <x v="0"/>
    <s v="Construction and Extraction"/>
    <s v="Hazardous Materials Removal Workers"/>
    <s v="Craft Workers"/>
    <s v="47-4041"/>
    <x v="3"/>
    <x v="0"/>
    <n v="2"/>
    <n v="272"/>
    <n v="13432.8"/>
  </r>
  <r>
    <x v="2"/>
    <x v="1"/>
    <x v="13"/>
    <x v="0"/>
    <s v="Construction and Extraction"/>
    <s v="Hazardous Materials Removal Workers"/>
    <s v="Craft Workers"/>
    <s v="47-4041"/>
    <x v="2"/>
    <x v="0"/>
    <n v="2"/>
    <n v="168"/>
    <n v="7842.4"/>
  </r>
  <r>
    <x v="14"/>
    <x v="1"/>
    <x v="13"/>
    <x v="0"/>
    <s v="Construction and Extraction"/>
    <s v="Roofers"/>
    <s v="Craft Workers"/>
    <s v="47-2181"/>
    <x v="0"/>
    <x v="0"/>
    <n v="11"/>
    <n v="627"/>
    <n v="20236.03"/>
  </r>
  <r>
    <x v="14"/>
    <x v="1"/>
    <x v="14"/>
    <x v="0"/>
    <s v="Construction and Extraction"/>
    <s v="Roofers"/>
    <s v="Craft Workers"/>
    <s v="47-2181"/>
    <x v="4"/>
    <x v="0"/>
    <n v="1"/>
    <n v="4"/>
    <n v="122.4"/>
  </r>
  <r>
    <x v="14"/>
    <x v="1"/>
    <x v="15"/>
    <x v="0"/>
    <s v="Construction and Extraction"/>
    <s v="Roofers"/>
    <s v="Craft Workers"/>
    <s v="47-2181"/>
    <x v="0"/>
    <x v="1"/>
    <n v="1"/>
    <n v="40.5"/>
    <n v="1246.95"/>
  </r>
  <r>
    <x v="14"/>
    <x v="1"/>
    <x v="16"/>
    <x v="0"/>
    <s v="Construction and Extraction"/>
    <s v="Sheet Metal Workers"/>
    <s v="Craft Workers"/>
    <s v="47-2211"/>
    <x v="0"/>
    <x v="0"/>
    <n v="1"/>
    <n v="20"/>
    <n v="821.8"/>
  </r>
  <r>
    <x v="15"/>
    <x v="1"/>
    <x v="17"/>
    <x v="0"/>
    <s v="Installation, Maintenance, and Repair"/>
    <s v="Heating, Air Conditioning, and Refrigeration Mechanics and Installers"/>
    <s v="Craft Workers"/>
    <s v="49-9021"/>
    <x v="0"/>
    <x v="0"/>
    <n v="6"/>
    <n v="796"/>
    <n v="29665.51"/>
  </r>
  <r>
    <x v="15"/>
    <x v="1"/>
    <x v="17"/>
    <x v="0"/>
    <s v="Installation, Maintenance, and Repair"/>
    <s v="Heating, Air Conditioning, and Refrigeration Mechanics and Installers"/>
    <s v="Craft Workers"/>
    <s v="49-9021"/>
    <x v="0"/>
    <x v="1"/>
    <n v="0"/>
    <n v="0"/>
    <m/>
  </r>
  <r>
    <x v="9"/>
    <x v="1"/>
    <x v="17"/>
    <x v="0"/>
    <s v="Construction and Extraction"/>
    <s v="Roofers"/>
    <s v="Craft Workers"/>
    <s v="47-2181"/>
    <x v="0"/>
    <x v="0"/>
    <n v="7"/>
    <n v="94"/>
    <n v="5155.16"/>
  </r>
  <r>
    <x v="19"/>
    <x v="1"/>
    <x v="17"/>
    <x v="0"/>
    <s v="Construction and Extraction"/>
    <s v="Electricians"/>
    <s v="Craft Workers"/>
    <s v="47-2111"/>
    <x v="0"/>
    <x v="0"/>
    <n v="1"/>
    <n v="96"/>
    <n v="4032"/>
  </r>
  <r>
    <x v="18"/>
    <x v="1"/>
    <x v="17"/>
    <x v="0"/>
    <s v="Construction and Extraction"/>
    <s v="Cement Masons and Concrete Finishers"/>
    <s v="Craft Workers"/>
    <s v="47-2051"/>
    <x v="0"/>
    <x v="0"/>
    <n v="2"/>
    <n v="91"/>
    <n v="3064.88"/>
  </r>
  <r>
    <x v="10"/>
    <x v="1"/>
    <x v="17"/>
    <x v="0"/>
    <s v="Construction and Extraction"/>
    <s v="Carpenters"/>
    <s v="Craft Workers"/>
    <s v="47-2031"/>
    <x v="0"/>
    <x v="0"/>
    <n v="8"/>
    <n v="519"/>
    <n v="15040.42"/>
  </r>
  <r>
    <x v="10"/>
    <x v="1"/>
    <x v="17"/>
    <x v="0"/>
    <s v="Construction and Extraction"/>
    <s v="Tapers"/>
    <s v="Craft Workers"/>
    <s v="47-2082"/>
    <x v="0"/>
    <x v="0"/>
    <n v="1"/>
    <n v="64"/>
    <n v="1976.32"/>
  </r>
  <r>
    <x v="8"/>
    <x v="1"/>
    <x v="17"/>
    <x v="0"/>
    <s v="Construction and Extraction"/>
    <s v="Brickmasons and Blockmasons"/>
    <s v="Craft Workers"/>
    <s v="47-2021"/>
    <x v="0"/>
    <x v="0"/>
    <n v="9"/>
    <n v="981"/>
    <n v="36133.82"/>
  </r>
  <r>
    <x v="5"/>
    <x v="1"/>
    <x v="17"/>
    <x v="0"/>
    <s v="Construction and Extraction"/>
    <s v="Electricians"/>
    <s v="Craft Workers"/>
    <s v="47-2111"/>
    <x v="0"/>
    <x v="0"/>
    <n v="9"/>
    <n v="566"/>
    <n v="22923.599999999999"/>
  </r>
  <r>
    <x v="4"/>
    <x v="1"/>
    <x v="17"/>
    <x v="0"/>
    <s v="Construction and Extraction"/>
    <s v="Plumbers, Pipefitters, and Steamfitters"/>
    <s v="Craft Workers"/>
    <s v="47-2152"/>
    <x v="0"/>
    <x v="0"/>
    <n v="7"/>
    <n v="830"/>
    <n v="59892.800000000003"/>
  </r>
  <r>
    <x v="4"/>
    <x v="1"/>
    <x v="17"/>
    <x v="0"/>
    <s v="Construction and Extraction"/>
    <s v="Plumbers, Pipefitters, and Steamfitters"/>
    <s v="Craft Workers"/>
    <s v="47-2152"/>
    <x v="0"/>
    <x v="1"/>
    <n v="0"/>
    <n v="0"/>
    <m/>
  </r>
  <r>
    <x v="16"/>
    <x v="1"/>
    <x v="17"/>
    <x v="0"/>
    <s v="Construction and Extraction"/>
    <s v="Insulation Workers, Mechanical"/>
    <s v="Craft Workers"/>
    <s v="47-2152"/>
    <x v="0"/>
    <x v="0"/>
    <n v="2"/>
    <n v="80"/>
    <n v="5130.72"/>
  </r>
  <r>
    <x v="16"/>
    <x v="1"/>
    <x v="17"/>
    <x v="0"/>
    <s v="Construction and Extraction"/>
    <s v="Insulation Workers, Mechanical"/>
    <s v="Craft Workers"/>
    <s v="47-2152"/>
    <x v="0"/>
    <x v="1"/>
    <n v="0"/>
    <n v="0"/>
    <m/>
  </r>
  <r>
    <x v="2"/>
    <x v="1"/>
    <x v="17"/>
    <x v="0"/>
    <s v="Construction and Extraction"/>
    <s v="First-Line Supervisors of Construction Trades and Extraction Workers"/>
    <s v="Craft Workers"/>
    <s v="47-1011"/>
    <x v="1"/>
    <x v="0"/>
    <n v="1"/>
    <n v="16"/>
    <n v="1600"/>
  </r>
  <r>
    <x v="2"/>
    <x v="1"/>
    <x v="17"/>
    <x v="0"/>
    <s v="Construction and Extraction"/>
    <s v="Hazardous Materials Removal Workers"/>
    <s v="Craft Workers"/>
    <s v="47-4041"/>
    <x v="2"/>
    <x v="0"/>
    <n v="1"/>
    <n v="40"/>
    <n v="2048"/>
  </r>
  <r>
    <x v="2"/>
    <x v="1"/>
    <x v="17"/>
    <x v="0"/>
    <s v="Construction and Extraction"/>
    <s v="Hazardous Materials Removal Workers"/>
    <s v="Craft Workers"/>
    <s v="47-4041"/>
    <x v="3"/>
    <x v="0"/>
    <n v="2"/>
    <n v="125.5"/>
    <n v="6183.13"/>
  </r>
  <r>
    <x v="2"/>
    <x v="1"/>
    <x v="17"/>
    <x v="0"/>
    <s v="Construction and Extraction"/>
    <s v="First-Line Supervisors of Construction Trades and Extraction Workers"/>
    <s v="Craft Workers"/>
    <s v="47-1011"/>
    <x v="0"/>
    <x v="0"/>
    <n v="2"/>
    <n v="208"/>
    <n v="11661.07"/>
  </r>
  <r>
    <x v="2"/>
    <x v="1"/>
    <x v="17"/>
    <x v="0"/>
    <s v="Construction and Extraction"/>
    <s v="Hazardous Materials Removal Workers"/>
    <s v="Craft Workers"/>
    <s v="47-4041"/>
    <x v="0"/>
    <x v="0"/>
    <n v="2"/>
    <n v="267"/>
    <n v="13263.56"/>
  </r>
  <r>
    <x v="14"/>
    <x v="1"/>
    <x v="17"/>
    <x v="0"/>
    <s v="Construction and Extraction"/>
    <s v="Sheet Metal Workers"/>
    <s v="Craft Workers"/>
    <s v="47-2211"/>
    <x v="0"/>
    <x v="0"/>
    <n v="1"/>
    <n v="3"/>
    <n v="123.27"/>
  </r>
  <r>
    <x v="14"/>
    <x v="1"/>
    <x v="17"/>
    <x v="0"/>
    <s v="Construction and Extraction"/>
    <s v="Roofers"/>
    <s v="Craft Workers"/>
    <s v="47-2181"/>
    <x v="0"/>
    <x v="1"/>
    <n v="1"/>
    <n v="39.5"/>
    <n v="1262.25"/>
  </r>
  <r>
    <x v="14"/>
    <x v="1"/>
    <x v="17"/>
    <x v="0"/>
    <s v="Construction and Extraction"/>
    <s v="Roofers"/>
    <s v="Craft Workers"/>
    <s v="47-2181"/>
    <x v="0"/>
    <x v="0"/>
    <n v="10"/>
    <n v="763"/>
    <n v="26478.98"/>
  </r>
  <r>
    <x v="15"/>
    <x v="1"/>
    <x v="18"/>
    <x v="1"/>
    <s v="Installation, Maintenance, and Repair"/>
    <s v="Heating, Air Conditioning, and Refrigeration Mechanics and Installers"/>
    <s v="Craft Workers"/>
    <s v="49-9021"/>
    <x v="0"/>
    <x v="0"/>
    <n v="6"/>
    <n v="1274"/>
    <n v="48081.87"/>
  </r>
  <r>
    <x v="15"/>
    <x v="1"/>
    <x v="18"/>
    <x v="1"/>
    <s v="Installation, Maintenance, and Repair"/>
    <s v="Heating, Air Conditioning, and Refrigeration Mechanics and Installers"/>
    <s v="Craft Workers"/>
    <s v="49-9021"/>
    <x v="0"/>
    <x v="1"/>
    <n v="0"/>
    <n v="0"/>
    <m/>
  </r>
  <r>
    <x v="9"/>
    <x v="1"/>
    <x v="18"/>
    <x v="1"/>
    <s v="Construction and Extraction"/>
    <s v="Roofers"/>
    <s v="Craft Workers"/>
    <s v="47-2181"/>
    <x v="0"/>
    <x v="0"/>
    <n v="4"/>
    <n v="78"/>
    <n v="4151.92"/>
  </r>
  <r>
    <x v="19"/>
    <x v="1"/>
    <x v="18"/>
    <x v="1"/>
    <s v="Construction and Extraction"/>
    <s v="Electricians"/>
    <s v="Craft Workers"/>
    <s v="47-2111"/>
    <x v="0"/>
    <x v="0"/>
    <n v="1"/>
    <n v="154.5"/>
    <n v="6489"/>
  </r>
  <r>
    <x v="10"/>
    <x v="1"/>
    <x v="18"/>
    <x v="1"/>
    <s v="Construction and Extraction"/>
    <s v="Carpenters"/>
    <s v="Craft Workers"/>
    <s v="47-2031"/>
    <x v="0"/>
    <x v="0"/>
    <n v="7"/>
    <n v="479"/>
    <n v="14349.76"/>
  </r>
  <r>
    <x v="10"/>
    <x v="1"/>
    <x v="18"/>
    <x v="1"/>
    <s v="Construction and Extraction"/>
    <s v="Tapers"/>
    <s v="Craft Workers"/>
    <s v="47-2082"/>
    <x v="0"/>
    <x v="0"/>
    <n v="1"/>
    <n v="48"/>
    <n v="1482.24"/>
  </r>
  <r>
    <x v="8"/>
    <x v="1"/>
    <x v="18"/>
    <x v="1"/>
    <s v="Construction and Extraction"/>
    <s v="Brickmasons and Blockmasons"/>
    <s v="Craft Workers"/>
    <s v="47-2021"/>
    <x v="0"/>
    <x v="0"/>
    <n v="10"/>
    <n v="1008"/>
    <n v="37292.160000000003"/>
  </r>
  <r>
    <x v="5"/>
    <x v="1"/>
    <x v="18"/>
    <x v="1"/>
    <s v="Construction and Extraction"/>
    <s v="Electricians"/>
    <s v="Craft Workers"/>
    <s v="47-2111"/>
    <x v="0"/>
    <x v="0"/>
    <n v="7"/>
    <n v="747.5"/>
    <n v="30502.5"/>
  </r>
  <r>
    <x v="4"/>
    <x v="1"/>
    <x v="18"/>
    <x v="1"/>
    <s v="Construction and Extraction"/>
    <s v="Plumbers, Pipefitters, and Steamfitters"/>
    <s v="Craft Workers"/>
    <s v="47-2152"/>
    <x v="0"/>
    <x v="0"/>
    <n v="7"/>
    <n v="1037.5"/>
    <n v="74866"/>
  </r>
  <r>
    <x v="4"/>
    <x v="1"/>
    <x v="18"/>
    <x v="1"/>
    <s v="Construction and Extraction"/>
    <s v="Plumbers, Pipefitters, and Steamfitters"/>
    <s v="Craft Workers"/>
    <s v="47-2152"/>
    <x v="0"/>
    <x v="1"/>
    <n v="0"/>
    <n v="0"/>
    <m/>
  </r>
  <r>
    <x v="16"/>
    <x v="1"/>
    <x v="18"/>
    <x v="1"/>
    <s v="Construction and Extraction"/>
    <s v="Insulation Workers, Mechanical"/>
    <s v="Craft Workers"/>
    <s v="47-2152"/>
    <x v="0"/>
    <x v="0"/>
    <n v="2"/>
    <n v="192"/>
    <n v="10953.52"/>
  </r>
  <r>
    <x v="16"/>
    <x v="1"/>
    <x v="18"/>
    <x v="1"/>
    <s v="Construction and Extraction"/>
    <s v="Insulation Workers, Mechanical"/>
    <s v="Craft Workers"/>
    <s v="47-2152"/>
    <x v="0"/>
    <x v="1"/>
    <n v="0"/>
    <n v="0"/>
    <m/>
  </r>
  <r>
    <x v="2"/>
    <x v="1"/>
    <x v="18"/>
    <x v="1"/>
    <s v="Construction and Extraction"/>
    <s v="First-Line Supervisors of Construction Trades and Extraction Workers"/>
    <s v="Craft Workers"/>
    <s v="47-1011"/>
    <x v="1"/>
    <x v="0"/>
    <n v="1"/>
    <n v="8"/>
    <n v="800"/>
  </r>
  <r>
    <x v="2"/>
    <x v="1"/>
    <x v="18"/>
    <x v="1"/>
    <s v="Construction and Extraction"/>
    <s v="Hazardous Materials Removal Workers"/>
    <s v="Craft Workers"/>
    <s v="47-4041"/>
    <x v="2"/>
    <x v="0"/>
    <n v="2"/>
    <n v="72"/>
    <n v="3161.2"/>
  </r>
  <r>
    <x v="2"/>
    <x v="1"/>
    <x v="18"/>
    <x v="1"/>
    <s v="Construction and Extraction"/>
    <s v="Hazardous Materials Removal Workers"/>
    <s v="Craft Workers"/>
    <s v="47-4041"/>
    <x v="3"/>
    <x v="0"/>
    <n v="2"/>
    <n v="190"/>
    <n v="9364.4"/>
  </r>
  <r>
    <x v="2"/>
    <x v="1"/>
    <x v="18"/>
    <x v="1"/>
    <s v="Construction and Extraction"/>
    <s v="First-Line Supervisors of Construction Trades and Extraction Workers"/>
    <s v="Craft Workers"/>
    <s v="47-1011"/>
    <x v="0"/>
    <x v="0"/>
    <n v="3"/>
    <n v="171"/>
    <n v="9522.32"/>
  </r>
  <r>
    <x v="2"/>
    <x v="1"/>
    <x v="18"/>
    <x v="1"/>
    <s v="Construction and Extraction"/>
    <s v="Hazardous Materials Removal Workers"/>
    <s v="Craft Workers"/>
    <s v="47-4041"/>
    <x v="0"/>
    <x v="0"/>
    <n v="2"/>
    <n v="227"/>
    <n v="11332.4"/>
  </r>
  <r>
    <x v="14"/>
    <x v="1"/>
    <x v="18"/>
    <x v="1"/>
    <s v="Construction and Extraction"/>
    <s v="Roofers"/>
    <s v="Craft Workers"/>
    <s v="47-2181"/>
    <x v="4"/>
    <x v="0"/>
    <n v="4"/>
    <n v="72.5"/>
    <n v="2126.3200000000002"/>
  </r>
  <r>
    <x v="14"/>
    <x v="1"/>
    <x v="18"/>
    <x v="1"/>
    <s v="Construction and Extraction"/>
    <s v="Sheet Metal Workers"/>
    <s v="Craft Workers"/>
    <s v="47-2211"/>
    <x v="0"/>
    <x v="0"/>
    <n v="5"/>
    <n v="94"/>
    <n v="2639.73"/>
  </r>
  <r>
    <x v="14"/>
    <x v="1"/>
    <x v="18"/>
    <x v="1"/>
    <s v="Construction and Extraction"/>
    <s v="Roofers"/>
    <s v="Craft Workers"/>
    <s v="47-2181"/>
    <x v="0"/>
    <x v="0"/>
    <n v="12"/>
    <n v="926.5"/>
    <n v="30686.3"/>
  </r>
  <r>
    <x v="7"/>
    <x v="1"/>
    <x v="19"/>
    <x v="1"/>
    <s v="Construction and Extraction"/>
    <s v="Reinforcing Iron and Rebar Workers"/>
    <s v="Craft Workers"/>
    <s v="47-2171"/>
    <x v="0"/>
    <x v="0"/>
    <n v="1"/>
    <n v="3"/>
    <n v="120.45"/>
  </r>
  <r>
    <x v="7"/>
    <x v="1"/>
    <x v="19"/>
    <x v="1"/>
    <s v="Construction and Extraction"/>
    <s v="Reinforcing Iron and Rebar Workers"/>
    <s v="Craft Workers"/>
    <s v="47-2171"/>
    <x v="0"/>
    <x v="1"/>
    <n v="0"/>
    <n v="0"/>
    <m/>
  </r>
  <r>
    <x v="17"/>
    <x v="1"/>
    <x v="19"/>
    <x v="1"/>
    <s v="Construction and Extraction"/>
    <s v="Glaziers"/>
    <s v="Craft Workers"/>
    <s v="47-2121"/>
    <x v="2"/>
    <x v="0"/>
    <n v="1"/>
    <n v="115"/>
    <n v="3984.75"/>
  </r>
  <r>
    <x v="17"/>
    <x v="1"/>
    <x v="19"/>
    <x v="1"/>
    <s v="Construction and Extraction"/>
    <s v="Reinforcing Iron and Rebar Workers"/>
    <s v="Craft Workers"/>
    <s v="47-2171"/>
    <x v="0"/>
    <x v="0"/>
    <n v="2"/>
    <n v="135.5"/>
    <n v="5314.61"/>
  </r>
  <r>
    <x v="17"/>
    <x v="1"/>
    <x v="19"/>
    <x v="1"/>
    <s v="Construction and Extraction"/>
    <s v="Glaziers"/>
    <s v="Craft Workers"/>
    <s v="47-2121"/>
    <x v="0"/>
    <x v="0"/>
    <n v="3"/>
    <n v="371.5"/>
    <n v="12894.34"/>
  </r>
  <r>
    <x v="17"/>
    <x v="1"/>
    <x v="19"/>
    <x v="1"/>
    <s v="Construction and Extraction"/>
    <s v="Glaziers"/>
    <s v="Craft Workers"/>
    <s v="47-2121"/>
    <x v="0"/>
    <x v="1"/>
    <n v="0"/>
    <n v="0"/>
    <m/>
  </r>
  <r>
    <x v="17"/>
    <x v="1"/>
    <x v="19"/>
    <x v="1"/>
    <s v="Construction and Extraction"/>
    <s v="Glaziers"/>
    <s v="Craft Workers"/>
    <s v="47-2121"/>
    <x v="2"/>
    <x v="1"/>
    <n v="0"/>
    <n v="0"/>
    <m/>
  </r>
  <r>
    <x v="17"/>
    <x v="1"/>
    <x v="19"/>
    <x v="1"/>
    <s v="Construction and Extraction"/>
    <s v="Reinforcing Iron and Rebar Workers"/>
    <s v="Craft Workers"/>
    <s v="47-2171"/>
    <x v="0"/>
    <x v="1"/>
    <n v="0"/>
    <n v="0"/>
    <m/>
  </r>
  <r>
    <x v="12"/>
    <x v="1"/>
    <x v="19"/>
    <x v="1"/>
    <s v="Construction and Extraction"/>
    <s v="Cement Masons and Concrete Finishers"/>
    <s v="Craft Workers"/>
    <s v="47-2051"/>
    <x v="2"/>
    <x v="0"/>
    <n v="1"/>
    <n v="8"/>
    <n v="242.48"/>
  </r>
  <r>
    <x v="12"/>
    <x v="1"/>
    <x v="19"/>
    <x v="1"/>
    <s v="Construction and Extraction"/>
    <s v="Construction Laborers"/>
    <s v="Labors and Helpers"/>
    <s v="47-2061"/>
    <x v="0"/>
    <x v="0"/>
    <n v="3"/>
    <n v="24"/>
    <n v="724"/>
  </r>
  <r>
    <x v="12"/>
    <x v="1"/>
    <x v="19"/>
    <x v="1"/>
    <s v="Construction and Extraction"/>
    <s v="Cement Masons and Concrete Finishers"/>
    <s v="Craft Workers"/>
    <s v="47-2051"/>
    <x v="0"/>
    <x v="0"/>
    <n v="4"/>
    <n v="34"/>
    <n v="1287.1199999999999"/>
  </r>
  <r>
    <x v="12"/>
    <x v="1"/>
    <x v="19"/>
    <x v="1"/>
    <s v="Construction and Extraction"/>
    <s v="Cement Masons and Concrete Finishers"/>
    <s v="Craft Workers"/>
    <s v="47-2051"/>
    <x v="0"/>
    <x v="1"/>
    <n v="0"/>
    <n v="0"/>
    <m/>
  </r>
  <r>
    <x v="12"/>
    <x v="1"/>
    <x v="19"/>
    <x v="1"/>
    <s v="Construction and Extraction"/>
    <s v="Cement Masons and Concrete Finishers"/>
    <s v="Craft Workers"/>
    <s v="47-2051"/>
    <x v="2"/>
    <x v="1"/>
    <n v="0"/>
    <n v="0"/>
    <m/>
  </r>
  <r>
    <x v="12"/>
    <x v="1"/>
    <x v="19"/>
    <x v="1"/>
    <s v="Construction and Extraction"/>
    <s v="Construction Laborers"/>
    <s v="Labors and Helpers"/>
    <s v="47-2061"/>
    <x v="0"/>
    <x v="1"/>
    <n v="0"/>
    <n v="0"/>
    <m/>
  </r>
  <r>
    <x v="15"/>
    <x v="1"/>
    <x v="19"/>
    <x v="1"/>
    <s v="Installation, Maintenance, and Repair"/>
    <s v="Heating, Air Conditioning, and Refrigeration Mechanics and Installers"/>
    <s v="Craft Workers"/>
    <s v="49-9021"/>
    <x v="0"/>
    <x v="0"/>
    <n v="6"/>
    <n v="734"/>
    <n v="27260"/>
  </r>
  <r>
    <x v="15"/>
    <x v="1"/>
    <x v="19"/>
    <x v="1"/>
    <s v="Installation, Maintenance, and Repair"/>
    <s v="Heating, Air Conditioning, and Refrigeration Mechanics and Installers"/>
    <s v="Craft Workers"/>
    <s v="49-9021"/>
    <x v="0"/>
    <x v="1"/>
    <n v="0"/>
    <n v="0"/>
    <m/>
  </r>
  <r>
    <x v="13"/>
    <x v="1"/>
    <x v="19"/>
    <x v="1"/>
    <s v="Construction and Extraction"/>
    <s v="Operating Engineers and Other Construction Equipment Operators"/>
    <s v="Craft Workers"/>
    <s v="47-2073"/>
    <x v="0"/>
    <x v="0"/>
    <n v="2"/>
    <n v="64.5"/>
    <n v="3559.89"/>
  </r>
  <r>
    <x v="13"/>
    <x v="1"/>
    <x v="19"/>
    <x v="1"/>
    <s v="Construction and Extraction"/>
    <s v="Construction Laborers"/>
    <s v="Labors and Helpers"/>
    <s v="47-2061"/>
    <x v="0"/>
    <x v="0"/>
    <n v="3"/>
    <n v="237.5"/>
    <n v="7541.03"/>
  </r>
  <r>
    <x v="13"/>
    <x v="1"/>
    <x v="19"/>
    <x v="1"/>
    <s v="Construction and Extraction"/>
    <s v="First-Line Supervisors of Construction Trades and Extraction Workers"/>
    <s v="Craft Workers"/>
    <s v="47-1011"/>
    <x v="0"/>
    <x v="0"/>
    <n v="1"/>
    <n v="165.5"/>
    <n v="8121.75"/>
  </r>
  <r>
    <x v="13"/>
    <x v="1"/>
    <x v="19"/>
    <x v="1"/>
    <s v="Construction and Extraction"/>
    <s v="Brickmasons and Blockmasons"/>
    <s v="Craft Workers"/>
    <s v="47-2021"/>
    <x v="0"/>
    <x v="0"/>
    <n v="2"/>
    <n v="208.5"/>
    <n v="8665.08"/>
  </r>
  <r>
    <x v="13"/>
    <x v="1"/>
    <x v="19"/>
    <x v="1"/>
    <s v="Construction and Extraction"/>
    <s v="First-Line Supervisors of Construction Trades and Extraction Workers"/>
    <s v="Craft Workers"/>
    <s v="47-1011"/>
    <x v="0"/>
    <x v="1"/>
    <n v="0"/>
    <n v="0"/>
    <m/>
  </r>
  <r>
    <x v="13"/>
    <x v="1"/>
    <x v="19"/>
    <x v="1"/>
    <s v="Construction and Extraction"/>
    <s v="Brickmasons and Blockmasons"/>
    <s v="Craft Workers"/>
    <s v="47-2021"/>
    <x v="0"/>
    <x v="1"/>
    <n v="0"/>
    <n v="0"/>
    <m/>
  </r>
  <r>
    <x v="13"/>
    <x v="1"/>
    <x v="19"/>
    <x v="1"/>
    <s v="Construction and Extraction"/>
    <s v="Construction Laborers"/>
    <s v="Labors and Helpers"/>
    <s v="47-2061"/>
    <x v="0"/>
    <x v="1"/>
    <n v="0"/>
    <n v="0"/>
    <m/>
  </r>
  <r>
    <x v="13"/>
    <x v="1"/>
    <x v="19"/>
    <x v="1"/>
    <s v="Construction and Extraction"/>
    <s v="Operating Engineers and Other Construction Equipment Operators"/>
    <s v="Craft Workers"/>
    <s v="47-2073"/>
    <x v="0"/>
    <x v="1"/>
    <n v="0"/>
    <n v="0"/>
    <m/>
  </r>
  <r>
    <x v="0"/>
    <x v="1"/>
    <x v="19"/>
    <x v="1"/>
    <s v="Construction and Extraction"/>
    <s v="Plumbers, Pipefitters, and Steamfitters"/>
    <s v="Craft Workers"/>
    <s v="47-2152"/>
    <x v="0"/>
    <x v="1"/>
    <n v="1"/>
    <n v="136"/>
    <n v="6134.96"/>
  </r>
  <r>
    <x v="0"/>
    <x v="1"/>
    <x v="19"/>
    <x v="1"/>
    <s v="Construction and Extraction"/>
    <s v="Plumbers, Pipefitters, and Steamfitters"/>
    <s v="Craft Workers"/>
    <s v="47-2152"/>
    <x v="0"/>
    <x v="0"/>
    <n v="6"/>
    <n v="838"/>
    <n v="45345.39"/>
  </r>
  <r>
    <x v="0"/>
    <x v="1"/>
    <x v="19"/>
    <x v="1"/>
    <s v="Construction and Extraction"/>
    <s v="Plumbers, Pipefitters, and Steamfitters"/>
    <s v="Craft Workers"/>
    <s v="47-2152"/>
    <x v="0"/>
    <x v="1"/>
    <n v="0"/>
    <n v="0"/>
    <m/>
  </r>
  <r>
    <x v="9"/>
    <x v="1"/>
    <x v="19"/>
    <x v="1"/>
    <s v="Construction and Extraction"/>
    <s v="Roofers"/>
    <s v="Craft Workers"/>
    <s v="47-2181"/>
    <x v="0"/>
    <x v="0"/>
    <n v="2"/>
    <n v="44"/>
    <n v="2324.96"/>
  </r>
  <r>
    <x v="19"/>
    <x v="1"/>
    <x v="19"/>
    <x v="1"/>
    <s v="Construction and Extraction"/>
    <s v="Electricians"/>
    <s v="Craft Workers"/>
    <s v="47-2111"/>
    <x v="0"/>
    <x v="0"/>
    <n v="1"/>
    <n v="143"/>
    <n v="6006"/>
  </r>
  <r>
    <x v="1"/>
    <x v="1"/>
    <x v="19"/>
    <x v="1"/>
    <s v="Construction and Extraction"/>
    <s v="Construction Laborers"/>
    <s v="Labors and Helpers"/>
    <s v="47-2061"/>
    <x v="0"/>
    <x v="0"/>
    <n v="1"/>
    <n v="8"/>
    <n v="376.16"/>
  </r>
  <r>
    <x v="1"/>
    <x v="1"/>
    <x v="19"/>
    <x v="1"/>
    <s v="Construction and Extraction"/>
    <s v="Carpenters"/>
    <s v="Craft Workers"/>
    <s v="47-2031"/>
    <x v="2"/>
    <x v="0"/>
    <n v="1"/>
    <n v="72"/>
    <n v="3787.2"/>
  </r>
  <r>
    <x v="1"/>
    <x v="1"/>
    <x v="19"/>
    <x v="1"/>
    <s v="Construction and Extraction"/>
    <s v="Carpenters"/>
    <s v="Craft Workers"/>
    <s v="47-2031"/>
    <x v="0"/>
    <x v="0"/>
    <n v="3"/>
    <n v="320"/>
    <n v="17273.599999999999"/>
  </r>
  <r>
    <x v="1"/>
    <x v="1"/>
    <x v="19"/>
    <x v="1"/>
    <s v="Construction and Extraction"/>
    <s v="Carpenters"/>
    <s v="Craft Workers"/>
    <s v="47-2031"/>
    <x v="2"/>
    <x v="1"/>
    <n v="0"/>
    <n v="0"/>
    <m/>
  </r>
  <r>
    <x v="1"/>
    <x v="1"/>
    <x v="19"/>
    <x v="1"/>
    <s v="Construction and Extraction"/>
    <s v="Carpenters"/>
    <s v="Craft Workers"/>
    <s v="47-2031"/>
    <x v="0"/>
    <x v="1"/>
    <n v="0"/>
    <n v="0"/>
    <m/>
  </r>
  <r>
    <x v="1"/>
    <x v="1"/>
    <x v="19"/>
    <x v="1"/>
    <s v="Construction and Extraction"/>
    <s v="Construction Laborers"/>
    <s v="Labors and Helpers"/>
    <s v="47-2061"/>
    <x v="0"/>
    <x v="1"/>
    <n v="0"/>
    <n v="0"/>
    <m/>
  </r>
  <r>
    <x v="18"/>
    <x v="1"/>
    <x v="19"/>
    <x v="1"/>
    <s v="Construction and Extraction"/>
    <s v="Cement Masons and Concrete Finishers"/>
    <s v="Craft Workers"/>
    <s v="47-2051"/>
    <x v="0"/>
    <x v="0"/>
    <n v="3"/>
    <n v="57"/>
    <n v="1919.76"/>
  </r>
  <r>
    <x v="10"/>
    <x v="1"/>
    <x v="19"/>
    <x v="1"/>
    <s v="Construction and Extraction"/>
    <s v="Carpenters"/>
    <s v="Craft Workers"/>
    <s v="47-2031"/>
    <x v="0"/>
    <x v="0"/>
    <n v="12"/>
    <n v="802"/>
    <n v="23443.74"/>
  </r>
  <r>
    <x v="10"/>
    <x v="1"/>
    <x v="19"/>
    <x v="1"/>
    <s v="Construction and Extraction"/>
    <s v="Construction Laborers"/>
    <s v="Labors and Helpers"/>
    <s v="47-2061"/>
    <x v="0"/>
    <x v="0"/>
    <n v="2"/>
    <n v="22"/>
    <n v="583"/>
  </r>
  <r>
    <x v="10"/>
    <x v="1"/>
    <x v="19"/>
    <x v="1"/>
    <s v="Construction and Extraction"/>
    <s v="Tapers"/>
    <s v="Craft Workers"/>
    <s v="47-2082"/>
    <x v="0"/>
    <x v="0"/>
    <n v="1"/>
    <n v="25.5"/>
    <n v="787.44"/>
  </r>
  <r>
    <x v="20"/>
    <x v="1"/>
    <x v="19"/>
    <x v="1"/>
    <s v="Installation, Maintenance, and Repair"/>
    <s v="Helpers--Installation, Maintenance, and Repair Workers"/>
    <s v="Labors and Helpers"/>
    <s v="49-9098"/>
    <x v="0"/>
    <x v="0"/>
    <n v="1"/>
    <n v="8"/>
    <n v="298.8"/>
  </r>
  <r>
    <x v="20"/>
    <x v="1"/>
    <x v="19"/>
    <x v="1"/>
    <s v="Construction and Extraction"/>
    <s v="Insulation Workers, Mechanical"/>
    <s v="Craft Workers"/>
    <s v="47-2132"/>
    <x v="0"/>
    <x v="0"/>
    <n v="3"/>
    <n v="50"/>
    <n v="1180.75"/>
  </r>
  <r>
    <x v="8"/>
    <x v="1"/>
    <x v="19"/>
    <x v="1"/>
    <s v="Construction and Extraction"/>
    <s v="Brickmasons and Blockmasons"/>
    <s v="Craft Workers"/>
    <s v="47-2021"/>
    <x v="0"/>
    <x v="0"/>
    <n v="2"/>
    <n v="50"/>
    <n v="1803.12"/>
  </r>
  <r>
    <x v="8"/>
    <x v="1"/>
    <x v="19"/>
    <x v="1"/>
    <s v="Construction and Extraction"/>
    <s v="Brickmasons and Blockmasons"/>
    <s v="Craft Workers"/>
    <s v="47-2021"/>
    <x v="0"/>
    <x v="0"/>
    <n v="10"/>
    <n v="1008"/>
    <n v="37292.160000000003"/>
  </r>
  <r>
    <x v="4"/>
    <x v="1"/>
    <x v="19"/>
    <x v="1"/>
    <s v="Construction and Extraction"/>
    <s v="Plumbers, Pipefitters, and Steamfitters"/>
    <s v="Craft Workers"/>
    <s v="47-2152"/>
    <x v="0"/>
    <x v="0"/>
    <n v="9"/>
    <n v="1318"/>
    <n v="95106.880000000005"/>
  </r>
  <r>
    <x v="4"/>
    <x v="1"/>
    <x v="19"/>
    <x v="1"/>
    <s v="Construction and Extraction"/>
    <s v="Plumbers, Pipefitters, and Steamfitters"/>
    <s v="Craft Workers"/>
    <s v="47-2152"/>
    <x v="0"/>
    <x v="1"/>
    <n v="0"/>
    <n v="0"/>
    <m/>
  </r>
  <r>
    <x v="21"/>
    <x v="1"/>
    <x v="19"/>
    <x v="1"/>
    <s v="Construction and Extraction"/>
    <s v="Structural Iron and Steel Workers"/>
    <s v="Craft Workers"/>
    <s v="47-2221"/>
    <x v="0"/>
    <x v="0"/>
    <n v="7"/>
    <n v="388.7"/>
    <n v="10583.31"/>
  </r>
  <r>
    <x v="21"/>
    <x v="1"/>
    <x v="19"/>
    <x v="1"/>
    <s v="Construction and Extraction"/>
    <s v="Structural Iron and Steel Workers"/>
    <s v="Craft Workers"/>
    <s v="47-2221"/>
    <x v="0"/>
    <x v="1"/>
    <n v="0"/>
    <n v="0"/>
    <m/>
  </r>
  <r>
    <x v="22"/>
    <x v="1"/>
    <x v="19"/>
    <x v="1"/>
    <s v="Construction and Extraction"/>
    <s v="Carpenters"/>
    <s v="Craft Workers"/>
    <s v="47-2031"/>
    <x v="0"/>
    <x v="0"/>
    <n v="1"/>
    <n v="46.15"/>
    <n v="2014.71"/>
  </r>
  <r>
    <x v="22"/>
    <x v="1"/>
    <x v="19"/>
    <x v="1"/>
    <s v="Construction and Extraction"/>
    <s v="Construction Laborers"/>
    <s v="Labors and Helpers"/>
    <s v="47-2061"/>
    <x v="0"/>
    <x v="0"/>
    <n v="4"/>
    <n v="372.78"/>
    <n v="15610.69"/>
  </r>
  <r>
    <x v="22"/>
    <x v="1"/>
    <x v="19"/>
    <x v="1"/>
    <s v="Construction and Extraction"/>
    <s v="Construction Laborers"/>
    <s v="Labors and Helpers"/>
    <s v="47-2061"/>
    <x v="0"/>
    <x v="1"/>
    <n v="0"/>
    <n v="0"/>
    <m/>
  </r>
  <r>
    <x v="22"/>
    <x v="1"/>
    <x v="19"/>
    <x v="1"/>
    <s v="Construction and Extraction"/>
    <s v="Carpenters"/>
    <s v="Craft Workers"/>
    <s v="47-2031"/>
    <x v="0"/>
    <x v="1"/>
    <n v="0"/>
    <n v="0"/>
    <m/>
  </r>
  <r>
    <x v="16"/>
    <x v="1"/>
    <x v="19"/>
    <x v="1"/>
    <s v="Construction and Extraction"/>
    <s v="Insulation Workers, Mechanical"/>
    <s v="Craft Workers"/>
    <s v="47-2132"/>
    <x v="0"/>
    <x v="0"/>
    <n v="4"/>
    <n v="220"/>
    <n v="13896.9"/>
  </r>
  <r>
    <x v="16"/>
    <x v="1"/>
    <x v="19"/>
    <x v="1"/>
    <s v="Construction and Extraction"/>
    <s v="Insulation Workers, Mechanical"/>
    <s v="Craft Workers"/>
    <s v="47-2132"/>
    <x v="0"/>
    <x v="1"/>
    <n v="0"/>
    <n v="0"/>
    <m/>
  </r>
  <r>
    <x v="2"/>
    <x v="1"/>
    <x v="19"/>
    <x v="1"/>
    <s v="Construction and Extraction"/>
    <s v="First-Line Supervisors of Construction Trades and Extraction Workers"/>
    <s v="Craft Workers"/>
    <s v="47-1011"/>
    <x v="1"/>
    <x v="0"/>
    <n v="2"/>
    <n v="28"/>
    <n v="2520"/>
  </r>
  <r>
    <x v="2"/>
    <x v="1"/>
    <x v="19"/>
    <x v="1"/>
    <s v="Construction and Extraction"/>
    <s v="First-Line Supervisors of Construction Trades and Extraction Workers"/>
    <s v="Craft Workers"/>
    <s v="47-1011"/>
    <x v="0"/>
    <x v="0"/>
    <n v="3"/>
    <n v="82.5"/>
    <n v="4915.83"/>
  </r>
  <r>
    <x v="2"/>
    <x v="1"/>
    <x v="19"/>
    <x v="1"/>
    <s v="Construction and Extraction"/>
    <s v="Hazardous Materials Removal Workers"/>
    <s v="Craft Workers"/>
    <s v="47-4041"/>
    <x v="3"/>
    <x v="0"/>
    <n v="1"/>
    <n v="145"/>
    <n v="7320"/>
  </r>
  <r>
    <x v="2"/>
    <x v="1"/>
    <x v="19"/>
    <x v="1"/>
    <s v="Construction and Extraction"/>
    <s v="Hazardous Materials Removal Workers"/>
    <s v="Craft Workers"/>
    <s v="47-4041"/>
    <x v="0"/>
    <x v="0"/>
    <n v="2"/>
    <n v="193.5"/>
    <n v="9487.6"/>
  </r>
  <r>
    <x v="14"/>
    <x v="1"/>
    <x v="19"/>
    <x v="1"/>
    <s v="Construction and Extraction"/>
    <s v="Sheet Metal Workers"/>
    <s v="Craft Workers"/>
    <s v="47-2211"/>
    <x v="0"/>
    <x v="0"/>
    <n v="1"/>
    <n v="4"/>
    <n v="164.36"/>
  </r>
  <r>
    <x v="14"/>
    <x v="1"/>
    <x v="19"/>
    <x v="1"/>
    <s v="Construction and Extraction"/>
    <s v="Roofers"/>
    <s v="Craft Workers"/>
    <s v="47-2181"/>
    <x v="4"/>
    <x v="0"/>
    <n v="3"/>
    <n v="435"/>
    <n v="11704.56"/>
  </r>
  <r>
    <x v="14"/>
    <x v="1"/>
    <x v="19"/>
    <x v="1"/>
    <s v="Construction and Extraction"/>
    <s v="Roofers"/>
    <s v="Craft Workers"/>
    <s v="47-2181"/>
    <x v="0"/>
    <x v="0"/>
    <n v="6"/>
    <n v="660"/>
    <n v="20397.22"/>
  </r>
  <r>
    <x v="17"/>
    <x v="1"/>
    <x v="20"/>
    <x v="1"/>
    <s v="Construction and Extraction"/>
    <s v="Reinforcing Iron and Rebar Workers"/>
    <s v="Craft Workers"/>
    <s v="47-2171"/>
    <x v="0"/>
    <x v="0"/>
    <n v="2"/>
    <n v="117"/>
    <n v="4580.55"/>
  </r>
  <r>
    <x v="17"/>
    <x v="1"/>
    <x v="20"/>
    <x v="1"/>
    <s v="Construction and Extraction"/>
    <s v="Glaziers"/>
    <s v="Craft Workers"/>
    <s v="47-2121"/>
    <x v="0"/>
    <x v="0"/>
    <n v="2"/>
    <n v="180"/>
    <n v="5993.6"/>
  </r>
  <r>
    <x v="17"/>
    <x v="1"/>
    <x v="20"/>
    <x v="1"/>
    <s v="Construction and Extraction"/>
    <s v="Glaziers"/>
    <s v="Craft Workers"/>
    <s v="47-2121"/>
    <x v="0"/>
    <x v="1"/>
    <n v="0"/>
    <n v="0"/>
    <m/>
  </r>
  <r>
    <x v="17"/>
    <x v="1"/>
    <x v="20"/>
    <x v="1"/>
    <s v="Construction and Extraction"/>
    <s v="Reinforcing Iron and Rebar Workers"/>
    <s v="Craft Workers"/>
    <s v="47-2171"/>
    <x v="0"/>
    <x v="1"/>
    <n v="0"/>
    <n v="0"/>
    <m/>
  </r>
  <r>
    <x v="15"/>
    <x v="1"/>
    <x v="20"/>
    <x v="1"/>
    <s v="Installation, Maintenance, and Repair"/>
    <s v="Heating, Air Conditioning, and Refrigeration Mechanics and Installers"/>
    <s v="Craft Workers"/>
    <s v="49-9021"/>
    <x v="0"/>
    <x v="0"/>
    <n v="3"/>
    <n v="376"/>
    <n v="9602.67"/>
  </r>
  <r>
    <x v="15"/>
    <x v="1"/>
    <x v="20"/>
    <x v="1"/>
    <s v="Installation, Maintenance, and Repair"/>
    <s v="Heating, Air Conditioning, and Refrigeration Mechanics and Installers"/>
    <s v="Craft Workers"/>
    <s v="49-9021"/>
    <x v="0"/>
    <x v="1"/>
    <n v="0"/>
    <n v="0"/>
    <m/>
  </r>
  <r>
    <x v="13"/>
    <x v="1"/>
    <x v="20"/>
    <x v="1"/>
    <s v="Construction and Extraction"/>
    <s v="Operating Engineers and Other Construction Equipment Operators"/>
    <s v="Craft Workers"/>
    <s v="47-2073"/>
    <x v="0"/>
    <x v="0"/>
    <n v="1"/>
    <n v="28"/>
    <n v="1533.04"/>
  </r>
  <r>
    <x v="13"/>
    <x v="1"/>
    <x v="20"/>
    <x v="1"/>
    <s v="Construction and Extraction"/>
    <s v="Construction Laborers"/>
    <s v="Labors and Helpers"/>
    <s v="47-2061"/>
    <x v="0"/>
    <x v="0"/>
    <n v="2"/>
    <n v="69"/>
    <n v="2258.58"/>
  </r>
  <r>
    <x v="13"/>
    <x v="1"/>
    <x v="20"/>
    <x v="1"/>
    <s v="Construction and Extraction"/>
    <s v="First-Line Supervisors of Construction Trades and Extraction Workers"/>
    <s v="Craft Workers"/>
    <s v="47-1011"/>
    <x v="0"/>
    <x v="0"/>
    <n v="1"/>
    <n v="48"/>
    <n v="2352"/>
  </r>
  <r>
    <x v="13"/>
    <x v="1"/>
    <x v="20"/>
    <x v="1"/>
    <s v="Construction and Extraction"/>
    <s v="Brickmasons and Blockmasons"/>
    <s v="Craft Workers"/>
    <s v="47-2021"/>
    <x v="0"/>
    <x v="0"/>
    <n v="2"/>
    <n v="96"/>
    <n v="3849.2"/>
  </r>
  <r>
    <x v="13"/>
    <x v="1"/>
    <x v="20"/>
    <x v="1"/>
    <s v="Construction and Extraction"/>
    <s v="First-Line Supervisors of Construction Trades and Extraction Workers"/>
    <s v="Craft Workers"/>
    <s v="47-1011"/>
    <x v="0"/>
    <x v="1"/>
    <n v="0"/>
    <n v="0"/>
    <m/>
  </r>
  <r>
    <x v="13"/>
    <x v="1"/>
    <x v="20"/>
    <x v="1"/>
    <s v="Construction and Extraction"/>
    <s v="Brickmasons and Blockmasons"/>
    <s v="Craft Workers"/>
    <s v="47-2021"/>
    <x v="0"/>
    <x v="1"/>
    <n v="0"/>
    <n v="0"/>
    <m/>
  </r>
  <r>
    <x v="13"/>
    <x v="1"/>
    <x v="20"/>
    <x v="1"/>
    <s v="Construction and Extraction"/>
    <s v="Construction Laborers"/>
    <s v="Labors and Helpers"/>
    <s v="47-2061"/>
    <x v="0"/>
    <x v="1"/>
    <n v="0"/>
    <n v="0"/>
    <m/>
  </r>
  <r>
    <x v="13"/>
    <x v="1"/>
    <x v="20"/>
    <x v="1"/>
    <s v="Construction and Extraction"/>
    <s v="Operating Engineers and Other Construction Equipment Operators"/>
    <s v="Craft Workers"/>
    <s v="47-2073"/>
    <x v="0"/>
    <x v="1"/>
    <n v="0"/>
    <n v="0"/>
    <m/>
  </r>
  <r>
    <x v="0"/>
    <x v="1"/>
    <x v="20"/>
    <x v="1"/>
    <s v="Construction and Extraction"/>
    <s v="Plumbers, Pipefitters, and Steamfitters"/>
    <s v="Craft Workers"/>
    <s v="47-2152"/>
    <x v="4"/>
    <x v="1"/>
    <n v="1"/>
    <n v="152"/>
    <n v="6856.72"/>
  </r>
  <r>
    <x v="0"/>
    <x v="1"/>
    <x v="20"/>
    <x v="1"/>
    <s v="Construction and Extraction"/>
    <s v="Plumbers, Pipefitters, and Steamfitters"/>
    <s v="Craft Workers"/>
    <s v="47-2152"/>
    <x v="0"/>
    <x v="0"/>
    <n v="6"/>
    <n v="880"/>
    <n v="36735"/>
  </r>
  <r>
    <x v="0"/>
    <x v="1"/>
    <x v="20"/>
    <x v="1"/>
    <s v="Construction and Extraction"/>
    <s v="Plumbers, Pipefitters, and Steamfitters"/>
    <s v="Craft Workers"/>
    <s v="47-2152"/>
    <x v="0"/>
    <x v="1"/>
    <n v="0"/>
    <n v="0"/>
    <m/>
  </r>
  <r>
    <x v="19"/>
    <x v="1"/>
    <x v="20"/>
    <x v="1"/>
    <s v="Construction and Extraction"/>
    <s v="Electricians"/>
    <s v="Craft Workers"/>
    <s v="47-2111"/>
    <x v="0"/>
    <x v="0"/>
    <n v="1"/>
    <n v="175"/>
    <n v="7350"/>
  </r>
  <r>
    <x v="1"/>
    <x v="1"/>
    <x v="20"/>
    <x v="1"/>
    <s v="Construction and Extraction"/>
    <s v="Carpenters"/>
    <s v="Craft Workers"/>
    <s v="47-2031"/>
    <x v="2"/>
    <x v="0"/>
    <n v="1"/>
    <n v="160"/>
    <n v="8636.7999999999993"/>
  </r>
  <r>
    <x v="1"/>
    <x v="1"/>
    <x v="20"/>
    <x v="1"/>
    <s v="Construction and Extraction"/>
    <s v="Carpenters"/>
    <s v="Craft Workers"/>
    <s v="47-2031"/>
    <x v="2"/>
    <x v="1"/>
    <n v="0"/>
    <n v="0"/>
    <m/>
  </r>
  <r>
    <x v="18"/>
    <x v="1"/>
    <x v="20"/>
    <x v="1"/>
    <s v="Construction and Extraction"/>
    <s v="Cement Masons and Concrete Finishers"/>
    <s v="Craft Workers"/>
    <s v="47-2051"/>
    <x v="0"/>
    <x v="0"/>
    <n v="3"/>
    <n v="168"/>
    <n v="5658.24"/>
  </r>
  <r>
    <x v="10"/>
    <x v="1"/>
    <x v="20"/>
    <x v="1"/>
    <s v="Construction and Extraction"/>
    <s v="Construction Laborers"/>
    <s v="Labors and Helpers"/>
    <s v="47-2061"/>
    <x v="0"/>
    <x v="0"/>
    <n v="2"/>
    <n v="10"/>
    <n v="265"/>
  </r>
  <r>
    <x v="10"/>
    <x v="1"/>
    <x v="20"/>
    <x v="1"/>
    <s v="Construction and Extraction"/>
    <s v="Carpenters"/>
    <s v="Craft Workers"/>
    <s v="47-2031"/>
    <x v="0"/>
    <x v="1"/>
    <n v="1"/>
    <n v="40"/>
    <n v="1244"/>
  </r>
  <r>
    <x v="10"/>
    <x v="1"/>
    <x v="20"/>
    <x v="1"/>
    <s v="Construction and Extraction"/>
    <s v="Tapers"/>
    <s v="Craft Workers"/>
    <s v="47-2082"/>
    <x v="0"/>
    <x v="0"/>
    <n v="2"/>
    <n v="76"/>
    <n v="2314.88"/>
  </r>
  <r>
    <x v="10"/>
    <x v="1"/>
    <x v="20"/>
    <x v="1"/>
    <s v="Construction and Extraction"/>
    <s v="Carpenters"/>
    <s v="Craft Workers"/>
    <s v="47-2031"/>
    <x v="0"/>
    <x v="0"/>
    <n v="10"/>
    <n v="680"/>
    <n v="20129.919999999998"/>
  </r>
  <r>
    <x v="6"/>
    <x v="1"/>
    <x v="20"/>
    <x v="1"/>
    <s v="Installation, Maintenance, and Repair"/>
    <s v="First-Line Supervisors of Mechanics, Installers, and Repairers"/>
    <s v="Craft Workers"/>
    <s v="49-1011"/>
    <x v="0"/>
    <x v="0"/>
    <n v="2"/>
    <n v="47.75"/>
    <n v="2204.08"/>
  </r>
  <r>
    <x v="6"/>
    <x v="1"/>
    <x v="20"/>
    <x v="1"/>
    <s v="Installation, Maintenance, and Repair"/>
    <s v="First-Line Supervisors of Mechanics, Installers, and Repairers"/>
    <s v="Craft Workers"/>
    <s v="49-1011"/>
    <x v="0"/>
    <x v="1"/>
    <n v="0"/>
    <n v="0"/>
    <m/>
  </r>
  <r>
    <x v="23"/>
    <x v="1"/>
    <x v="20"/>
    <x v="1"/>
    <s v="Construction and Extraction"/>
    <s v="Painters, Construction and Maintenance"/>
    <s v="Craft Workers"/>
    <s v="47-2141"/>
    <x v="0"/>
    <x v="0"/>
    <n v="1"/>
    <n v="8"/>
    <n v="226.8"/>
  </r>
  <r>
    <x v="23"/>
    <x v="1"/>
    <x v="20"/>
    <x v="1"/>
    <s v="Construction and Extraction"/>
    <s v="Painters, Construction and Maintenance"/>
    <s v="Craft Workers"/>
    <s v="47-2141"/>
    <x v="3"/>
    <x v="0"/>
    <n v="1"/>
    <n v="16"/>
    <n v="502.88"/>
  </r>
  <r>
    <x v="8"/>
    <x v="1"/>
    <x v="20"/>
    <x v="1"/>
    <s v="Construction and Extraction"/>
    <s v="Brickmasons and Blockmasons"/>
    <s v="Craft Workers"/>
    <s v="47-2021"/>
    <x v="0"/>
    <x v="0"/>
    <n v="7"/>
    <n v="301"/>
    <n v="12336.29"/>
  </r>
  <r>
    <x v="5"/>
    <x v="1"/>
    <x v="20"/>
    <x v="1"/>
    <s v="Construction and Extraction"/>
    <s v="Electricians"/>
    <s v="Craft Workers"/>
    <s v="47-2111"/>
    <x v="0"/>
    <x v="0"/>
    <n v="10"/>
    <n v="692.5"/>
    <n v="28730.25"/>
  </r>
  <r>
    <x v="4"/>
    <x v="1"/>
    <x v="20"/>
    <x v="1"/>
    <s v="Construction and Extraction"/>
    <s v="Plumbers, Pipefitters, and Steamfitters"/>
    <s v="Craft Workers"/>
    <s v="47-2152"/>
    <x v="0"/>
    <x v="0"/>
    <n v="8"/>
    <n v="1029"/>
    <n v="74252.639999999999"/>
  </r>
  <r>
    <x v="4"/>
    <x v="1"/>
    <x v="20"/>
    <x v="1"/>
    <s v="Construction and Extraction"/>
    <s v="Plumbers, Pipefitters, and Steamfitters"/>
    <s v="Craft Workers"/>
    <s v="47-2152"/>
    <x v="0"/>
    <x v="1"/>
    <n v="0"/>
    <n v="0"/>
    <m/>
  </r>
  <r>
    <x v="21"/>
    <x v="1"/>
    <x v="20"/>
    <x v="1"/>
    <s v="Construction and Extraction"/>
    <s v="Structural Iron and Steel Workers"/>
    <s v="Craft Workers"/>
    <s v="47-2221"/>
    <x v="0"/>
    <x v="0"/>
    <n v="8"/>
    <n v="634.14"/>
    <n v="22034.04"/>
  </r>
  <r>
    <x v="21"/>
    <x v="1"/>
    <x v="20"/>
    <x v="1"/>
    <s v="Construction and Extraction"/>
    <s v="Structural Iron and Steel Workers"/>
    <s v="Craft Workers"/>
    <s v="47-2221"/>
    <x v="0"/>
    <x v="1"/>
    <n v="0"/>
    <n v="0"/>
    <m/>
  </r>
  <r>
    <x v="22"/>
    <x v="1"/>
    <x v="20"/>
    <x v="1"/>
    <s v="Construction and Extraction"/>
    <s v="Construction Laborers"/>
    <s v="Labors and Helpers"/>
    <s v="47-2061"/>
    <x v="0"/>
    <x v="0"/>
    <n v="5"/>
    <n v="277.04000000000002"/>
    <n v="11646.95"/>
  </r>
  <r>
    <x v="22"/>
    <x v="1"/>
    <x v="20"/>
    <x v="1"/>
    <s v="Construction and Extraction"/>
    <s v="Construction Laborers"/>
    <s v="Labors and Helpers"/>
    <s v="47-2061"/>
    <x v="0"/>
    <x v="1"/>
    <n v="0"/>
    <n v="0"/>
    <m/>
  </r>
  <r>
    <x v="16"/>
    <x v="1"/>
    <x v="20"/>
    <x v="1"/>
    <s v="Construction and Extraction"/>
    <s v="Insulation Workers, Mechanical"/>
    <s v="Craft Workers"/>
    <s v="47-2132"/>
    <x v="0"/>
    <x v="0"/>
    <n v="2"/>
    <n v="159"/>
    <n v="9877.6200000000008"/>
  </r>
  <r>
    <x v="16"/>
    <x v="1"/>
    <x v="20"/>
    <x v="1"/>
    <s v="Construction and Extraction"/>
    <s v="Insulation Workers, Mechanical"/>
    <s v="Craft Workers"/>
    <s v="47-2132"/>
    <x v="0"/>
    <x v="1"/>
    <n v="0"/>
    <n v="0"/>
    <m/>
  </r>
  <r>
    <x v="24"/>
    <x v="1"/>
    <x v="20"/>
    <x v="1"/>
    <s v="Construction and Extraction"/>
    <s v="Plumbers, Pipefitters, and Steamfitters"/>
    <s v="Craft Workers"/>
    <s v="47-2152"/>
    <x v="0"/>
    <x v="0"/>
    <n v="2"/>
    <n v="254"/>
    <n v="8804.2199999999993"/>
  </r>
  <r>
    <x v="2"/>
    <x v="1"/>
    <x v="20"/>
    <x v="1"/>
    <s v="Construction and Extraction"/>
    <s v="First-Line Supervisors of Construction Trades and Extraction Workers"/>
    <s v="Craft Workers"/>
    <s v="47-1011"/>
    <x v="0"/>
    <x v="0"/>
    <n v="3"/>
    <n v="169"/>
    <n v="9940.01"/>
  </r>
  <r>
    <x v="2"/>
    <x v="1"/>
    <x v="20"/>
    <x v="1"/>
    <s v="Construction and Extraction"/>
    <s v="Hazardous Materials Removal Workers"/>
    <s v="Craft Workers"/>
    <s v="47-4041"/>
    <x v="0"/>
    <x v="0"/>
    <n v="2"/>
    <n v="226.5"/>
    <n v="9351.4"/>
  </r>
  <r>
    <x v="2"/>
    <x v="1"/>
    <x v="20"/>
    <x v="1"/>
    <s v="Construction and Extraction"/>
    <s v="First-Line Supervisors of Construction Trades and Extraction Workers"/>
    <s v="Craft Workers"/>
    <s v="47-1011"/>
    <x v="1"/>
    <x v="0"/>
    <n v="1"/>
    <n v="16"/>
    <n v="1600"/>
  </r>
  <r>
    <x v="2"/>
    <x v="1"/>
    <x v="20"/>
    <x v="1"/>
    <s v="Construction and Extraction"/>
    <s v="Hazardous Materials Removal Workers"/>
    <s v="Craft Workers"/>
    <s v="47-4041"/>
    <x v="3"/>
    <x v="0"/>
    <n v="1"/>
    <n v="114"/>
    <n v="4255.2"/>
  </r>
  <r>
    <x v="2"/>
    <x v="1"/>
    <x v="20"/>
    <x v="1"/>
    <s v="Construction and Extraction"/>
    <s v="Hazardous Materials Removal Workers"/>
    <s v="Craft Workers"/>
    <s v="47-4041"/>
    <x v="2"/>
    <x v="0"/>
    <n v="1"/>
    <n v="32"/>
    <n v="1107.2"/>
  </r>
  <r>
    <x v="14"/>
    <x v="1"/>
    <x v="20"/>
    <x v="1"/>
    <s v="Construction and Extraction"/>
    <s v="Sheet Metal Workers"/>
    <s v="Craft Workers"/>
    <s v="47-2211"/>
    <x v="0"/>
    <x v="0"/>
    <n v="4"/>
    <n v="41"/>
    <n v="1457.09"/>
  </r>
  <r>
    <x v="14"/>
    <x v="1"/>
    <x v="20"/>
    <x v="1"/>
    <s v="Construction and Extraction"/>
    <s v="Roofers"/>
    <s v="Craft Workers"/>
    <s v="47-2181"/>
    <x v="4"/>
    <x v="0"/>
    <n v="4"/>
    <n v="324.5"/>
    <n v="8856.4500000000007"/>
  </r>
  <r>
    <x v="14"/>
    <x v="1"/>
    <x v="20"/>
    <x v="1"/>
    <s v="Construction and Extraction"/>
    <s v="Roofers"/>
    <s v="Craft Workers"/>
    <s v="47-2181"/>
    <x v="0"/>
    <x v="0"/>
    <n v="10"/>
    <n v="484"/>
    <n v="15461.46"/>
  </r>
  <r>
    <x v="7"/>
    <x v="2"/>
    <x v="21"/>
    <x v="2"/>
    <s v="Construction and Extraction"/>
    <s v="Reinforcing Iron and Rebar Workers"/>
    <s v="Craft Workers"/>
    <s v="47-2171"/>
    <x v="0"/>
    <x v="0"/>
    <n v="1"/>
    <n v="4.5"/>
    <n v="189.68"/>
  </r>
  <r>
    <x v="17"/>
    <x v="2"/>
    <x v="21"/>
    <x v="2"/>
    <s v="Construction and Extraction"/>
    <s v="Glaziers"/>
    <s v="Craft Workers"/>
    <s v="47-2121"/>
    <x v="0"/>
    <x v="1"/>
    <n v="1"/>
    <n v="16"/>
    <n v="554.4"/>
  </r>
  <r>
    <x v="17"/>
    <x v="2"/>
    <x v="21"/>
    <x v="2"/>
    <s v="Construction and Extraction"/>
    <s v="Reinforcing Iron and Rebar Workers"/>
    <s v="Craft Workers"/>
    <s v="47-2171"/>
    <x v="0"/>
    <x v="0"/>
    <n v="1"/>
    <n v="63"/>
    <n v="2466.4499999999998"/>
  </r>
  <r>
    <x v="17"/>
    <x v="2"/>
    <x v="21"/>
    <x v="2"/>
    <s v="Construction and Extraction"/>
    <s v="Glaziers"/>
    <s v="Craft Workers"/>
    <s v="47-2121"/>
    <x v="0"/>
    <x v="0"/>
    <n v="1"/>
    <n v="134.5"/>
    <n v="4660.43"/>
  </r>
  <r>
    <x v="12"/>
    <x v="2"/>
    <x v="21"/>
    <x v="2"/>
    <s v="Construction and Extraction"/>
    <s v="Cement Masons and Concrete Finishers"/>
    <s v="Craft Workers"/>
    <s v="47-2051"/>
    <x v="0"/>
    <x v="0"/>
    <n v="4"/>
    <n v="47"/>
    <n v="2010.56"/>
  </r>
  <r>
    <x v="12"/>
    <x v="2"/>
    <x v="21"/>
    <x v="2"/>
    <s v="Construction and Extraction"/>
    <s v="Cement Masons and Concrete Finishers"/>
    <s v="Craft Workers"/>
    <s v="47-2051"/>
    <x v="0"/>
    <x v="0"/>
    <n v="4"/>
    <n v="47"/>
    <n v="2010.56"/>
  </r>
  <r>
    <x v="15"/>
    <x v="2"/>
    <x v="21"/>
    <x v="2"/>
    <s v="Installation, Maintenance, and Repair"/>
    <s v="Heating, Air Conditioning, and Refrigeration Mechanics and Installers"/>
    <s v="Craft Workers"/>
    <s v="49-9021"/>
    <x v="0"/>
    <x v="0"/>
    <n v="5"/>
    <n v="714"/>
    <n v="25730.89"/>
  </r>
  <r>
    <x v="13"/>
    <x v="2"/>
    <x v="21"/>
    <x v="2"/>
    <s v="Construction and Extraction"/>
    <s v="Operating Engineers and Other Construction Equipment Operators"/>
    <s v="Craft Workers"/>
    <s v="47-2073"/>
    <x v="0"/>
    <x v="0"/>
    <n v="1"/>
    <n v="8"/>
    <n v="433.44"/>
  </r>
  <r>
    <x v="13"/>
    <x v="2"/>
    <x v="21"/>
    <x v="2"/>
    <s v="Construction and Extraction"/>
    <s v="Construction Laborers"/>
    <s v="Labors and Helpers"/>
    <s v="47-2061"/>
    <x v="0"/>
    <x v="0"/>
    <n v="1"/>
    <n v="40"/>
    <n v="1100"/>
  </r>
  <r>
    <x v="13"/>
    <x v="2"/>
    <x v="21"/>
    <x v="2"/>
    <s v="Construction and Extraction"/>
    <s v="Brickmasons and Blockmasons"/>
    <s v="Craft Workers"/>
    <s v="47-2021"/>
    <x v="0"/>
    <x v="0"/>
    <n v="1"/>
    <n v="40"/>
    <n v="1730"/>
  </r>
  <r>
    <x v="13"/>
    <x v="2"/>
    <x v="21"/>
    <x v="2"/>
    <s v="Construction and Extraction"/>
    <s v="First-Line Supervisors of Construction Trades and Extraction Workers"/>
    <s v="Craft Workers"/>
    <s v="47-1011"/>
    <x v="0"/>
    <x v="0"/>
    <n v="1"/>
    <n v="48"/>
    <n v="2352"/>
  </r>
  <r>
    <x v="0"/>
    <x v="2"/>
    <x v="21"/>
    <x v="2"/>
    <s v="Construction and Extraction"/>
    <s v="Plumbers, Pipefitters, and Steamfitters"/>
    <s v="Craft Workers"/>
    <s v="47-2152"/>
    <x v="4"/>
    <x v="1"/>
    <n v="1"/>
    <n v="192"/>
    <n v="8661.1200000000008"/>
  </r>
  <r>
    <x v="0"/>
    <x v="2"/>
    <x v="21"/>
    <x v="2"/>
    <s v="Construction and Extraction"/>
    <s v="Plumbers, Pipefitters, and Steamfitters"/>
    <s v="Craft Workers"/>
    <s v="47-2152"/>
    <x v="0"/>
    <x v="0"/>
    <n v="6"/>
    <n v="1156"/>
    <n v="56876.82"/>
  </r>
  <r>
    <x v="9"/>
    <x v="2"/>
    <x v="21"/>
    <x v="2"/>
    <s v="Construction and Extraction"/>
    <s v="Roofers"/>
    <s v="Craft Workers"/>
    <s v="47-2181"/>
    <x v="0"/>
    <x v="0"/>
    <n v="2"/>
    <n v="17"/>
    <n v="919.18"/>
  </r>
  <r>
    <x v="9"/>
    <x v="2"/>
    <x v="21"/>
    <x v="2"/>
    <s v="Construction and Extraction"/>
    <s v="Construction Laborers"/>
    <s v="Labors and Helpers"/>
    <s v="47-2061"/>
    <x v="0"/>
    <x v="0"/>
    <n v="3"/>
    <n v="75"/>
    <n v="3948"/>
  </r>
  <r>
    <x v="19"/>
    <x v="2"/>
    <x v="21"/>
    <x v="2"/>
    <s v="Construction and Extraction"/>
    <s v="Electricians"/>
    <s v="Craft Workers"/>
    <s v="47-2111"/>
    <x v="0"/>
    <x v="0"/>
    <n v="1"/>
    <n v="140"/>
    <n v="5880"/>
  </r>
  <r>
    <x v="1"/>
    <x v="2"/>
    <x v="21"/>
    <x v="2"/>
    <s v="Construction and Extraction"/>
    <s v="Carpenters"/>
    <s v="Craft Workers"/>
    <s v="47-2031"/>
    <x v="2"/>
    <x v="0"/>
    <n v="1"/>
    <n v="160"/>
    <n v="8636.7999999999993"/>
  </r>
  <r>
    <x v="10"/>
    <x v="2"/>
    <x v="21"/>
    <x v="2"/>
    <s v="Construction and Extraction"/>
    <s v="Construction Laborers"/>
    <s v="Labors and Helpers"/>
    <s v="47-2061"/>
    <x v="0"/>
    <x v="0"/>
    <n v="2"/>
    <n v="16"/>
    <n v="424"/>
  </r>
  <r>
    <x v="10"/>
    <x v="2"/>
    <x v="21"/>
    <x v="2"/>
    <s v="Construction and Extraction"/>
    <s v="Tapers"/>
    <s v="Craft Workers"/>
    <s v="47-2082"/>
    <x v="0"/>
    <x v="0"/>
    <n v="1"/>
    <n v="32"/>
    <n v="988.16"/>
  </r>
  <r>
    <x v="20"/>
    <x v="2"/>
    <x v="21"/>
    <x v="2"/>
    <s v="Construction and Extraction"/>
    <s v="Helpers--Extraction Workers"/>
    <s v="Craft Workers"/>
    <s v="47-5081"/>
    <x v="0"/>
    <x v="0"/>
    <n v="1"/>
    <n v="20"/>
    <n v="425.8"/>
  </r>
  <r>
    <x v="20"/>
    <x v="2"/>
    <x v="21"/>
    <x v="2"/>
    <s v="Construction and Extraction"/>
    <s v="Insulation Workers, Mechanical"/>
    <s v="Craft Workers"/>
    <s v="47-2132"/>
    <x v="0"/>
    <x v="0"/>
    <n v="1"/>
    <n v="20"/>
    <n v="694.6"/>
  </r>
  <r>
    <x v="20"/>
    <x v="2"/>
    <x v="21"/>
    <x v="2"/>
    <s v="Installation, Maintenance, and Repair"/>
    <s v="Helpers--Installation, Maintenance, and Repair Workers"/>
    <s v="Labors and Helpers"/>
    <s v="49-9098"/>
    <x v="0"/>
    <x v="0"/>
    <n v="2"/>
    <n v="64"/>
    <n v="2390.4"/>
  </r>
  <r>
    <x v="20"/>
    <x v="2"/>
    <x v="21"/>
    <x v="2"/>
    <s v="Construction and Extraction"/>
    <s v="Insulation Workers, Mechanical"/>
    <s v="Craft Workers"/>
    <s v="47-2132"/>
    <x v="0"/>
    <x v="0"/>
    <n v="3"/>
    <n v="72"/>
    <n v="3168.48"/>
  </r>
  <r>
    <x v="23"/>
    <x v="2"/>
    <x v="21"/>
    <x v="2"/>
    <s v="Construction and Extraction"/>
    <s v="Painters, Construction and Maintenance"/>
    <s v="Craft Workers"/>
    <s v="47-2141"/>
    <x v="0"/>
    <x v="0"/>
    <n v="1"/>
    <n v="16"/>
    <n v="453.6"/>
  </r>
  <r>
    <x v="23"/>
    <x v="2"/>
    <x v="21"/>
    <x v="2"/>
    <s v="Construction and Extraction"/>
    <s v="Painters, Construction and Maintenance"/>
    <s v="Craft Workers"/>
    <s v="47-2141"/>
    <x v="3"/>
    <x v="0"/>
    <n v="2"/>
    <n v="16"/>
    <n v="459.44"/>
  </r>
  <r>
    <x v="5"/>
    <x v="2"/>
    <x v="21"/>
    <x v="2"/>
    <s v="Construction and Extraction"/>
    <s v="Electricians"/>
    <s v="Craft Workers"/>
    <s v="47-2111"/>
    <x v="0"/>
    <x v="0"/>
    <n v="10"/>
    <n v="937"/>
    <n v="37048.199999999997"/>
  </r>
  <r>
    <x v="4"/>
    <x v="2"/>
    <x v="21"/>
    <x v="2"/>
    <s v="Construction and Extraction"/>
    <s v="Plumbers, Pipefitters, and Steamfitters"/>
    <s v="Craft Workers"/>
    <s v="47-2152"/>
    <x v="0"/>
    <x v="0"/>
    <n v="8"/>
    <n v="1002.5"/>
    <n v="72340.399999999994"/>
  </r>
  <r>
    <x v="21"/>
    <x v="2"/>
    <x v="21"/>
    <x v="2"/>
    <s v="Construction and Extraction"/>
    <s v="Structural Iron and Steel Workers"/>
    <s v="Craft Workers"/>
    <s v="47-2221"/>
    <x v="1"/>
    <x v="0"/>
    <n v="1"/>
    <n v="62"/>
    <n v="2157.0100000000002"/>
  </r>
  <r>
    <x v="21"/>
    <x v="2"/>
    <x v="21"/>
    <x v="2"/>
    <s v="Construction and Extraction"/>
    <s v="Structural Iron and Steel Workers"/>
    <s v="Craft Workers"/>
    <s v="47-2221"/>
    <x v="0"/>
    <x v="0"/>
    <n v="10"/>
    <n v="679.96"/>
    <n v="23680.23"/>
  </r>
  <r>
    <x v="16"/>
    <x v="2"/>
    <x v="21"/>
    <x v="2"/>
    <s v="Construction and Extraction"/>
    <s v="Insulation Workers, Mechanical"/>
    <s v="Craft Workers"/>
    <s v="47-2132"/>
    <x v="0"/>
    <x v="0"/>
    <n v="5"/>
    <n v="227"/>
    <n v="14394.37"/>
  </r>
  <r>
    <x v="24"/>
    <x v="2"/>
    <x v="21"/>
    <x v="2"/>
    <s v="Construction and Extraction"/>
    <s v="Plumbers, Pipefitters, and Steamfitters"/>
    <s v="Craft Workers"/>
    <s v="47-2152"/>
    <x v="0"/>
    <x v="0"/>
    <n v="2"/>
    <n v="208"/>
    <n v="7226.96"/>
  </r>
  <r>
    <x v="2"/>
    <x v="2"/>
    <x v="21"/>
    <x v="2"/>
    <s v="Construction and Extraction"/>
    <s v="First-Line Supervisors of Construction Trades and Extraction Workers"/>
    <s v="Craft Workers"/>
    <s v="47-1011"/>
    <x v="0"/>
    <x v="0"/>
    <n v="3"/>
    <n v="80"/>
    <n v="4441.54"/>
  </r>
  <r>
    <x v="2"/>
    <x v="2"/>
    <x v="21"/>
    <x v="2"/>
    <s v="Construction and Extraction"/>
    <s v="Hazardous Materials Removal Workers"/>
    <s v="Craft Workers"/>
    <s v="47-4041"/>
    <x v="0"/>
    <x v="0"/>
    <n v="2"/>
    <n v="82.5"/>
    <n v="4065.63"/>
  </r>
  <r>
    <x v="2"/>
    <x v="2"/>
    <x v="21"/>
    <x v="2"/>
    <s v="Construction and Extraction"/>
    <s v="First-Line Supervisors of Construction Trades and Extraction Workers"/>
    <s v="Craft Workers"/>
    <s v="47-1011"/>
    <x v="1"/>
    <x v="0"/>
    <n v="1"/>
    <n v="16"/>
    <n v="1600"/>
  </r>
  <r>
    <x v="2"/>
    <x v="2"/>
    <x v="21"/>
    <x v="2"/>
    <s v="Construction and Extraction"/>
    <s v="Hazardous Materials Removal Workers"/>
    <s v="Craft Workers"/>
    <s v="47-4041"/>
    <x v="3"/>
    <x v="0"/>
    <n v="1"/>
    <n v="40"/>
    <n v="1543.25"/>
  </r>
  <r>
    <x v="14"/>
    <x v="2"/>
    <x v="21"/>
    <x v="2"/>
    <s v="Construction and Extraction"/>
    <s v="Sheet Metal Workers"/>
    <s v="Craft Workers"/>
    <s v="47-2211"/>
    <x v="0"/>
    <x v="0"/>
    <n v="3"/>
    <n v="25"/>
    <n v="1020.11"/>
  </r>
  <r>
    <x v="14"/>
    <x v="2"/>
    <x v="21"/>
    <x v="2"/>
    <s v="Construction and Extraction"/>
    <s v="Roofers"/>
    <s v="Craft Workers"/>
    <s v="47-2181"/>
    <x v="4"/>
    <x v="0"/>
    <n v="3"/>
    <n v="122.5"/>
    <n v="3225.28"/>
  </r>
  <r>
    <x v="14"/>
    <x v="2"/>
    <x v="21"/>
    <x v="2"/>
    <s v="Construction and Extraction"/>
    <s v="Roofers"/>
    <s v="Craft Workers"/>
    <s v="47-2181"/>
    <x v="0"/>
    <x v="0"/>
    <n v="11"/>
    <n v="400"/>
    <n v="12489.76"/>
  </r>
  <r>
    <x v="17"/>
    <x v="2"/>
    <x v="22"/>
    <x v="2"/>
    <s v="Construction and Extraction"/>
    <s v="Glaziers"/>
    <s v="Craft Workers"/>
    <s v="47-2121"/>
    <x v="0"/>
    <x v="0"/>
    <n v="1"/>
    <n v="28"/>
    <n v="970.2"/>
  </r>
  <r>
    <x v="17"/>
    <x v="2"/>
    <x v="22"/>
    <x v="2"/>
    <s v="Construction and Extraction"/>
    <s v="Reinforcing Iron and Rebar Workers"/>
    <s v="Craft Workers"/>
    <s v="47-2171"/>
    <x v="0"/>
    <x v="0"/>
    <n v="1"/>
    <n v="28"/>
    <n v="1096.2"/>
  </r>
  <r>
    <x v="12"/>
    <x v="2"/>
    <x v="22"/>
    <x v="2"/>
    <s v="Construction and Extraction"/>
    <s v="Cement Masons and Concrete Finishers"/>
    <s v="Craft Workers"/>
    <s v="47-2051"/>
    <x v="2"/>
    <x v="0"/>
    <n v="1"/>
    <n v="10"/>
    <n v="333.41"/>
  </r>
  <r>
    <x v="12"/>
    <x v="2"/>
    <x v="22"/>
    <x v="2"/>
    <s v="Construction and Extraction"/>
    <s v="Construction Laborers"/>
    <s v="Labors and Helpers"/>
    <s v="47-2061"/>
    <x v="0"/>
    <x v="0"/>
    <n v="3"/>
    <n v="19"/>
    <n v="538.5"/>
  </r>
  <r>
    <x v="12"/>
    <x v="2"/>
    <x v="22"/>
    <x v="2"/>
    <s v="Construction and Extraction"/>
    <s v="Cement Masons and Concrete Finishers"/>
    <s v="Craft Workers"/>
    <s v="47-2051"/>
    <x v="0"/>
    <x v="0"/>
    <n v="4"/>
    <n v="42"/>
    <n v="1698.6000000000001"/>
  </r>
  <r>
    <x v="15"/>
    <x v="2"/>
    <x v="22"/>
    <x v="2"/>
    <s v="Installation, Maintenance, and Repair"/>
    <s v="Heating, Air Conditioning, and Refrigeration Mechanics and Installers"/>
    <s v="Craft Workers"/>
    <s v="49-9021"/>
    <x v="0"/>
    <x v="0"/>
    <n v="5"/>
    <n v="702"/>
    <n v="23724.38"/>
  </r>
  <r>
    <x v="13"/>
    <x v="2"/>
    <x v="22"/>
    <x v="2"/>
    <s v="Construction and Extraction"/>
    <s v="Operating Engineers and Other Construction Equipment Operators"/>
    <s v="Craft Workers"/>
    <s v="47-2073"/>
    <x v="0"/>
    <x v="0"/>
    <n v="1"/>
    <n v="2"/>
    <n v="108.36"/>
  </r>
  <r>
    <x v="13"/>
    <x v="2"/>
    <x v="22"/>
    <x v="2"/>
    <s v="Construction and Extraction"/>
    <s v="Brickmasons and Blockmasons"/>
    <s v="Craft Workers"/>
    <s v="47-2021"/>
    <x v="0"/>
    <x v="0"/>
    <n v="1"/>
    <n v="8"/>
    <n v="346"/>
  </r>
  <r>
    <x v="13"/>
    <x v="2"/>
    <x v="22"/>
    <x v="2"/>
    <s v="Construction and Extraction"/>
    <s v="Construction Laborers"/>
    <s v="Labors and Helpers"/>
    <s v="47-2061"/>
    <x v="0"/>
    <x v="0"/>
    <n v="1"/>
    <n v="39.5"/>
    <n v="1267.8800000000001"/>
  </r>
  <r>
    <x v="13"/>
    <x v="2"/>
    <x v="22"/>
    <x v="2"/>
    <s v="Construction and Extraction"/>
    <s v="First-Line Supervisors of Construction Trades and Extraction Workers"/>
    <s v="Craft Workers"/>
    <s v="47-1011"/>
    <x v="0"/>
    <x v="0"/>
    <n v="1"/>
    <n v="56"/>
    <n v="2744"/>
  </r>
  <r>
    <x v="0"/>
    <x v="2"/>
    <x v="22"/>
    <x v="2"/>
    <s v="Construction and Extraction"/>
    <s v="Plumbers, Pipefitters, and Steamfitters"/>
    <s v="Craft Workers"/>
    <s v="47-2152"/>
    <x v="4"/>
    <x v="1"/>
    <n v="1"/>
    <n v="152"/>
    <n v="6856.72"/>
  </r>
  <r>
    <x v="0"/>
    <x v="2"/>
    <x v="22"/>
    <x v="2"/>
    <s v="Construction and Extraction"/>
    <s v="Plumbers, Pipefitters, and Steamfitters"/>
    <s v="Craft Workers"/>
    <s v="47-2152"/>
    <x v="0"/>
    <x v="0"/>
    <n v="6"/>
    <n v="874"/>
    <n v="36887.730000000003"/>
  </r>
  <r>
    <x v="9"/>
    <x v="2"/>
    <x v="22"/>
    <x v="2"/>
    <s v="Construction and Extraction"/>
    <s v="Roofers"/>
    <s v="Craft Workers"/>
    <s v="47-2181"/>
    <x v="0"/>
    <x v="0"/>
    <n v="2"/>
    <n v="10"/>
    <n v="528"/>
  </r>
  <r>
    <x v="9"/>
    <x v="2"/>
    <x v="22"/>
    <x v="2"/>
    <s v="Construction and Extraction"/>
    <s v="Brickmasons and Blockmasons"/>
    <s v="Craft Workers"/>
    <s v="47-2021"/>
    <x v="0"/>
    <x v="0"/>
    <n v="2"/>
    <n v="12"/>
    <n v="748.44"/>
  </r>
  <r>
    <x v="9"/>
    <x v="2"/>
    <x v="22"/>
    <x v="2"/>
    <s v="Construction and Extraction"/>
    <s v="Construction Laborers"/>
    <s v="Labors and Helpers"/>
    <s v="47-2061"/>
    <x v="0"/>
    <x v="0"/>
    <n v="3"/>
    <n v="46"/>
    <n v="2476.2399999999998"/>
  </r>
  <r>
    <x v="19"/>
    <x v="2"/>
    <x v="22"/>
    <x v="2"/>
    <s v="Construction and Extraction"/>
    <s v="Electricians"/>
    <s v="Craft Workers"/>
    <s v="47-2111"/>
    <x v="0"/>
    <x v="0"/>
    <n v="1"/>
    <n v="148"/>
    <n v="6216"/>
  </r>
  <r>
    <x v="1"/>
    <x v="2"/>
    <x v="22"/>
    <x v="2"/>
    <s v="Construction and Extraction"/>
    <s v="Carpenters"/>
    <s v="Craft Workers"/>
    <s v="47-2031"/>
    <x v="0"/>
    <x v="0"/>
    <n v="2"/>
    <n v="200"/>
    <n v="10796"/>
  </r>
  <r>
    <x v="10"/>
    <x v="2"/>
    <x v="22"/>
    <x v="2"/>
    <s v="Construction and Extraction"/>
    <s v="Carpenters"/>
    <s v="Craft Workers"/>
    <s v="47-2031"/>
    <x v="0"/>
    <x v="0"/>
    <n v="10"/>
    <n v="1183"/>
    <n v="35979.79"/>
  </r>
  <r>
    <x v="10"/>
    <x v="2"/>
    <x v="22"/>
    <x v="2"/>
    <s v="Construction and Extraction"/>
    <s v="Construction Laborers"/>
    <s v="Labors and Helpers"/>
    <s v="47-2061"/>
    <x v="0"/>
    <x v="0"/>
    <n v="3"/>
    <n v="40"/>
    <n v="1060"/>
  </r>
  <r>
    <x v="10"/>
    <x v="2"/>
    <x v="22"/>
    <x v="2"/>
    <s v="Construction and Extraction"/>
    <s v="Tapers"/>
    <s v="Craft Workers"/>
    <s v="47-2082"/>
    <x v="0"/>
    <x v="0"/>
    <n v="2"/>
    <n v="90"/>
    <n v="2705.2"/>
  </r>
  <r>
    <x v="20"/>
    <x v="2"/>
    <x v="22"/>
    <x v="2"/>
    <s v="Construction and Extraction"/>
    <s v="Helpers--Extraction Workers"/>
    <s v="Craft Workers"/>
    <s v="47-5081"/>
    <x v="0"/>
    <x v="0"/>
    <n v="1"/>
    <n v="32"/>
    <n v="681.28"/>
  </r>
  <r>
    <x v="20"/>
    <x v="2"/>
    <x v="22"/>
    <x v="2"/>
    <s v="Construction and Extraction"/>
    <s v="Insulation Workers, Mechanical"/>
    <s v="Craft Workers"/>
    <s v="47-2132"/>
    <x v="0"/>
    <x v="0"/>
    <n v="2"/>
    <n v="133"/>
    <n v="5682.5"/>
  </r>
  <r>
    <x v="23"/>
    <x v="2"/>
    <x v="22"/>
    <x v="2"/>
    <s v="Construction and Extraction"/>
    <s v="Painters, Construction and Maintenance"/>
    <s v="Craft Workers"/>
    <s v="47-2141"/>
    <x v="0"/>
    <x v="0"/>
    <n v="2"/>
    <n v="47"/>
    <n v="1242.5"/>
  </r>
  <r>
    <x v="23"/>
    <x v="2"/>
    <x v="22"/>
    <x v="2"/>
    <s v="Construction and Extraction"/>
    <s v="Painters, Construction and Maintenance"/>
    <s v="Craft Workers"/>
    <s v="47-2141"/>
    <x v="3"/>
    <x v="0"/>
    <n v="2"/>
    <n v="42"/>
    <n v="1249.47"/>
  </r>
  <r>
    <x v="8"/>
    <x v="2"/>
    <x v="22"/>
    <x v="2"/>
    <s v="Construction and Extraction"/>
    <s v="Brickmasons and Blockmasons"/>
    <s v="Craft Workers"/>
    <s v="47-2021"/>
    <x v="0"/>
    <x v="0"/>
    <n v="8"/>
    <n v="518"/>
    <n v="19180.25"/>
  </r>
  <r>
    <x v="5"/>
    <x v="2"/>
    <x v="22"/>
    <x v="2"/>
    <s v="Construction and Extraction"/>
    <s v="Electricians"/>
    <s v="Craft Workers"/>
    <s v="47-2111"/>
    <x v="0"/>
    <x v="0"/>
    <n v="12"/>
    <n v="885"/>
    <n v="35742"/>
  </r>
  <r>
    <x v="4"/>
    <x v="2"/>
    <x v="22"/>
    <x v="2"/>
    <s v="Construction and Extraction"/>
    <s v="Plumbers, Pipefitters, and Steamfitters"/>
    <s v="Craft Workers"/>
    <s v="47-2152"/>
    <x v="0"/>
    <x v="0"/>
    <n v="4"/>
    <n v="586"/>
    <n v="42285.760000000002"/>
  </r>
  <r>
    <x v="21"/>
    <x v="2"/>
    <x v="22"/>
    <x v="2"/>
    <s v="Construction and Extraction"/>
    <s v="Structural Iron and Steel Workers"/>
    <s v="Craft Workers"/>
    <s v="47-2221"/>
    <x v="0"/>
    <x v="0"/>
    <n v="10"/>
    <n v="367.94"/>
    <n v="12831.22"/>
  </r>
  <r>
    <x v="22"/>
    <x v="2"/>
    <x v="22"/>
    <x v="2"/>
    <s v="Construction and Extraction"/>
    <s v="Construction Laborers"/>
    <s v="Labors and Helpers"/>
    <s v="47-2061"/>
    <x v="0"/>
    <x v="1"/>
    <n v="1"/>
    <n v="46.08"/>
    <n v="1893.8"/>
  </r>
  <r>
    <x v="22"/>
    <x v="2"/>
    <x v="22"/>
    <x v="2"/>
    <s v="Construction and Extraction"/>
    <s v="Carpenters"/>
    <s v="Craft Workers"/>
    <s v="47-2031"/>
    <x v="0"/>
    <x v="0"/>
    <n v="2"/>
    <n v="91.99"/>
    <n v="3829.09"/>
  </r>
  <r>
    <x v="16"/>
    <x v="2"/>
    <x v="22"/>
    <x v="2"/>
    <s v="Construction and Extraction"/>
    <s v="Insulation Workers, Mechanical"/>
    <s v="Craft Workers"/>
    <s v="47-2132"/>
    <x v="0"/>
    <x v="0"/>
    <n v="5"/>
    <n v="336"/>
    <n v="21001.9"/>
  </r>
  <r>
    <x v="24"/>
    <x v="2"/>
    <x v="22"/>
    <x v="2"/>
    <s v="Construction and Extraction"/>
    <s v="Plumbers, Pipefitters, and Steamfitters"/>
    <s v="Craft Workers"/>
    <s v="47-2152"/>
    <x v="3"/>
    <x v="0"/>
    <n v="1"/>
    <n v="104"/>
    <n v="2588.48"/>
  </r>
  <r>
    <x v="24"/>
    <x v="2"/>
    <x v="22"/>
    <x v="2"/>
    <s v="Construction and Extraction"/>
    <s v="Plumbers, Pipefitters, and Steamfitters"/>
    <s v="Craft Workers"/>
    <s v="47-2152"/>
    <x v="4"/>
    <x v="0"/>
    <n v="1"/>
    <n v="120"/>
    <n v="5170"/>
  </r>
  <r>
    <x v="24"/>
    <x v="2"/>
    <x v="22"/>
    <x v="2"/>
    <s v="Construction and Extraction"/>
    <s v="Plumbers, Pipefitters, and Steamfitters"/>
    <s v="Craft Workers"/>
    <s v="47-2152"/>
    <x v="0"/>
    <x v="0"/>
    <n v="2"/>
    <n v="383"/>
    <n v="10606.03"/>
  </r>
  <r>
    <x v="14"/>
    <x v="2"/>
    <x v="22"/>
    <x v="2"/>
    <s v="Construction and Extraction"/>
    <s v="Roofers"/>
    <s v="Craft Workers"/>
    <s v="47-2181"/>
    <x v="4"/>
    <x v="0"/>
    <n v="5"/>
    <n v="154.5"/>
    <n v="4120.96"/>
  </r>
  <r>
    <x v="14"/>
    <x v="2"/>
    <x v="23"/>
    <x v="2"/>
    <s v="Construction and Extraction"/>
    <s v="Roofers"/>
    <s v="Craft Workers"/>
    <s v="47-2181"/>
    <x v="0"/>
    <x v="0"/>
    <n v="11"/>
    <n v="221"/>
    <n v="7136.8"/>
  </r>
  <r>
    <x v="14"/>
    <x v="2"/>
    <x v="24"/>
    <x v="2"/>
    <s v="Construction and Extraction"/>
    <s v="Sheet Metal Workers"/>
    <s v="Craft Workers"/>
    <s v="47-2211"/>
    <x v="0"/>
    <x v="0"/>
    <n v="5"/>
    <n v="132"/>
    <n v="4907.1400000000003"/>
  </r>
  <r>
    <x v="17"/>
    <x v="2"/>
    <x v="25"/>
    <x v="2"/>
    <s v="Construction and Extraction"/>
    <s v="Reinforcing Iron and Rebar Workers"/>
    <s v="Craft Workers"/>
    <s v="47-2171"/>
    <x v="0"/>
    <x v="0"/>
    <n v="1"/>
    <n v="48"/>
    <n v="1879.2"/>
  </r>
  <r>
    <x v="17"/>
    <x v="2"/>
    <x v="25"/>
    <x v="2"/>
    <s v="Construction and Extraction"/>
    <s v="Glaziers"/>
    <s v="Craft Workers"/>
    <s v="47-2121"/>
    <x v="0"/>
    <x v="0"/>
    <n v="3"/>
    <n v="88"/>
    <n v="2957.2"/>
  </r>
  <r>
    <x v="15"/>
    <x v="2"/>
    <x v="25"/>
    <x v="2"/>
    <s v="Installation, Maintenance, and Repair"/>
    <s v="Heating, Air Conditioning, and Refrigeration Mechanics and Installers"/>
    <s v="Craft Workers"/>
    <s v="49-9021"/>
    <x v="0"/>
    <x v="0"/>
    <n v="6"/>
    <n v="752"/>
    <n v="26323.84"/>
  </r>
  <r>
    <x v="0"/>
    <x v="2"/>
    <x v="25"/>
    <x v="2"/>
    <s v="Construction and Extraction"/>
    <s v="Plumbers, Pipefitters, and Steamfitters"/>
    <s v="Craft Workers"/>
    <s v="47-2152"/>
    <x v="4"/>
    <x v="1"/>
    <n v="2"/>
    <n v="176"/>
    <n v="7488.16"/>
  </r>
  <r>
    <x v="0"/>
    <x v="2"/>
    <x v="25"/>
    <x v="2"/>
    <s v="Construction and Extraction"/>
    <s v="Plumbers, Pipefitters, and Steamfitters"/>
    <s v="Craft Workers"/>
    <s v="47-2152"/>
    <x v="0"/>
    <x v="0"/>
    <n v="7"/>
    <n v="976"/>
    <n v="42486.13"/>
  </r>
  <r>
    <x v="9"/>
    <x v="2"/>
    <x v="25"/>
    <x v="2"/>
    <s v="Construction and Extraction"/>
    <s v="Brickmasons and Blockmasons"/>
    <s v="Craft Workers"/>
    <s v="47-2021"/>
    <x v="0"/>
    <x v="0"/>
    <n v="2"/>
    <n v="11"/>
    <n v="686.07"/>
  </r>
  <r>
    <x v="9"/>
    <x v="2"/>
    <x v="25"/>
    <x v="2"/>
    <s v="Construction and Extraction"/>
    <s v="Roofers"/>
    <s v="Craft Workers"/>
    <s v="47-2181"/>
    <x v="0"/>
    <x v="0"/>
    <n v="2"/>
    <n v="22"/>
    <n v="1200.48"/>
  </r>
  <r>
    <x v="1"/>
    <x v="2"/>
    <x v="25"/>
    <x v="2"/>
    <s v="Construction and Extraction"/>
    <s v="Carpenters"/>
    <s v="Craft Workers"/>
    <s v="47-2031"/>
    <x v="0"/>
    <x v="0"/>
    <n v="2"/>
    <n v="200"/>
    <n v="10796"/>
  </r>
  <r>
    <x v="18"/>
    <x v="2"/>
    <x v="25"/>
    <x v="2"/>
    <s v="Construction and Extraction"/>
    <s v="Cement Masons and Concrete Finishers"/>
    <s v="Craft Workers"/>
    <s v="47-2051"/>
    <x v="0"/>
    <x v="0"/>
    <n v="4"/>
    <n v="260"/>
    <n v="8813.31"/>
  </r>
  <r>
    <x v="10"/>
    <x v="2"/>
    <x v="25"/>
    <x v="3"/>
    <s v="Construction and Extraction"/>
    <s v="Carpenters"/>
    <s v="Craft Workers"/>
    <s v="47-2031"/>
    <x v="0"/>
    <x v="0"/>
    <n v="14"/>
    <n v="2049"/>
    <n v="60503.48"/>
  </r>
  <r>
    <x v="10"/>
    <x v="2"/>
    <x v="25"/>
    <x v="3"/>
    <s v="Construction and Extraction"/>
    <s v="Construction Laborers"/>
    <s v="Labors and Helpers"/>
    <s v="47-2061"/>
    <x v="0"/>
    <x v="0"/>
    <n v="2"/>
    <n v="56"/>
    <n v="1484"/>
  </r>
  <r>
    <x v="10"/>
    <x v="2"/>
    <x v="25"/>
    <x v="3"/>
    <s v="Construction and Extraction"/>
    <s v="Tapers"/>
    <s v="Craft Workers"/>
    <s v="47-2082"/>
    <x v="0"/>
    <x v="0"/>
    <n v="2"/>
    <n v="324"/>
    <n v="9939.1200000000008"/>
  </r>
  <r>
    <x v="20"/>
    <x v="2"/>
    <x v="25"/>
    <x v="2"/>
    <s v="Construction and Extraction"/>
    <s v="Insulation Workers, Mechanical"/>
    <s v="Craft Workers"/>
    <s v="47-2132"/>
    <x v="0"/>
    <x v="0"/>
    <n v="1"/>
    <n v="24"/>
    <n v="786"/>
  </r>
  <r>
    <x v="20"/>
    <x v="2"/>
    <x v="25"/>
    <x v="2"/>
    <s v="Construction and Extraction"/>
    <s v="Helpers--Extraction Workers"/>
    <s v="Craft Workers"/>
    <s v="47-5081"/>
    <x v="0"/>
    <x v="0"/>
    <n v="1"/>
    <n v="64"/>
    <n v="1362.56"/>
  </r>
  <r>
    <x v="20"/>
    <x v="2"/>
    <x v="25"/>
    <x v="2"/>
    <s v="Construction and Extraction"/>
    <s v="Insulation Workers, Mechanical"/>
    <s v="Craft Workers"/>
    <s v="47-2132"/>
    <x v="0"/>
    <x v="0"/>
    <n v="4"/>
    <n v="297"/>
    <n v="12819.38"/>
  </r>
  <r>
    <x v="6"/>
    <x v="2"/>
    <x v="25"/>
    <x v="2"/>
    <s v="Construction and Extraction"/>
    <s v="Elevator Installers and Repairers"/>
    <s v="Craft Workers"/>
    <s v="47-4021"/>
    <x v="0"/>
    <x v="0"/>
    <n v="2"/>
    <n v="128"/>
    <n v="7948.16"/>
  </r>
  <r>
    <x v="23"/>
    <x v="2"/>
    <x v="25"/>
    <x v="2"/>
    <s v="Construction and Extraction"/>
    <s v="Painters, Construction and Maintenance"/>
    <s v="Craft Workers"/>
    <s v="47-2141"/>
    <x v="0"/>
    <x v="0"/>
    <n v="2"/>
    <n v="69"/>
    <n v="1938.75"/>
  </r>
  <r>
    <x v="8"/>
    <x v="2"/>
    <x v="25"/>
    <x v="2"/>
    <s v="Construction and Extraction"/>
    <s v="Brickmasons and Blockmasons"/>
    <s v="Craft Workers"/>
    <s v="47-2021"/>
    <x v="0"/>
    <x v="0"/>
    <n v="8"/>
    <n v="518"/>
    <n v="19180.25"/>
  </r>
  <r>
    <x v="4"/>
    <x v="2"/>
    <x v="25"/>
    <x v="2"/>
    <s v="Construction and Extraction"/>
    <s v="Plumbers, Pipefitters, and Steamfitters"/>
    <s v="Craft Workers"/>
    <s v="47-2152"/>
    <x v="0"/>
    <x v="0"/>
    <n v="5"/>
    <n v="880.5"/>
    <n v="63536.88"/>
  </r>
  <r>
    <x v="21"/>
    <x v="2"/>
    <x v="25"/>
    <x v="2"/>
    <s v="Construction and Extraction"/>
    <s v="Structural Iron and Steel Workers"/>
    <s v="Craft Workers"/>
    <s v="47-2221"/>
    <x v="0"/>
    <x v="0"/>
    <n v="5"/>
    <n v="20.079999999999998"/>
    <n v="701.84"/>
  </r>
  <r>
    <x v="16"/>
    <x v="2"/>
    <x v="25"/>
    <x v="2"/>
    <s v="Construction and Extraction"/>
    <s v="Insulation Workers, Mechanical"/>
    <s v="Craft Workers"/>
    <s v="47-2132"/>
    <x v="0"/>
    <x v="0"/>
    <n v="6"/>
    <n v="288"/>
    <n v="16756.61"/>
  </r>
  <r>
    <x v="24"/>
    <x v="2"/>
    <x v="25"/>
    <x v="2"/>
    <s v="Construction and Extraction"/>
    <s v="Plumbers, Pipefitters, and Steamfitters"/>
    <s v="Craft Workers"/>
    <s v="47-2152"/>
    <x v="3"/>
    <x v="0"/>
    <n v="1"/>
    <n v="96"/>
    <n v="3822.72"/>
  </r>
  <r>
    <x v="24"/>
    <x v="2"/>
    <x v="25"/>
    <x v="2"/>
    <s v="Construction and Extraction"/>
    <s v="Plumbers, Pipefitters, and Steamfitters"/>
    <s v="Craft Workers"/>
    <s v="47-2152"/>
    <x v="4"/>
    <x v="0"/>
    <n v="1"/>
    <n v="112"/>
    <n v="4704"/>
  </r>
  <r>
    <x v="24"/>
    <x v="2"/>
    <x v="25"/>
    <x v="2"/>
    <s v="Construction and Extraction"/>
    <s v="Plumbers, Pipefitters, and Steamfitters"/>
    <s v="Craft Workers"/>
    <s v="47-2152"/>
    <x v="0"/>
    <x v="0"/>
    <n v="2"/>
    <n v="232"/>
    <n v="8393.52"/>
  </r>
  <r>
    <x v="2"/>
    <x v="2"/>
    <x v="25"/>
    <x v="2"/>
    <s v="Construction and Extraction"/>
    <s v="Construction Laborers"/>
    <s v="Labors and Helpers"/>
    <s v="47-2061"/>
    <x v="0"/>
    <x v="0"/>
    <n v="1"/>
    <n v="40"/>
    <n v="1600"/>
  </r>
  <r>
    <x v="14"/>
    <x v="2"/>
    <x v="25"/>
    <x v="2"/>
    <s v="Construction and Extraction"/>
    <s v="Roofers"/>
    <s v="Craft Workers"/>
    <s v="47-2181"/>
    <x v="4"/>
    <x v="1"/>
    <n v="1"/>
    <n v="2"/>
    <n v="64.260000000000005"/>
  </r>
  <r>
    <x v="14"/>
    <x v="2"/>
    <x v="25"/>
    <x v="2"/>
    <s v="Construction and Extraction"/>
    <s v="Roofers"/>
    <s v="Craft Workers"/>
    <s v="47-2181"/>
    <x v="4"/>
    <x v="0"/>
    <n v="5"/>
    <n v="137.5"/>
    <n v="3765.74"/>
  </r>
  <r>
    <x v="14"/>
    <x v="2"/>
    <x v="25"/>
    <x v="2"/>
    <s v="Construction and Extraction"/>
    <s v="Roofers"/>
    <s v="Craft Workers"/>
    <s v="47-2181"/>
    <x v="0"/>
    <x v="0"/>
    <n v="12"/>
    <n v="452"/>
    <n v="14592.28"/>
  </r>
  <r>
    <x v="14"/>
    <x v="2"/>
    <x v="25"/>
    <x v="2"/>
    <s v="Construction and Extraction"/>
    <s v="Sheet Metal Workers"/>
    <s v="Craft Workers"/>
    <s v="47-2211"/>
    <x v="0"/>
    <x v="0"/>
    <n v="6"/>
    <n v="440"/>
    <n v="16283.51"/>
  </r>
  <r>
    <x v="17"/>
    <x v="2"/>
    <x v="26"/>
    <x v="3"/>
    <s v="Construction and Extraction"/>
    <s v="Glaziers"/>
    <s v="Craft Workers"/>
    <s v="47-2121"/>
    <x v="0"/>
    <x v="0"/>
    <n v="1"/>
    <n v="8"/>
    <n v="277.2"/>
  </r>
  <r>
    <x v="25"/>
    <x v="2"/>
    <x v="26"/>
    <x v="3"/>
    <s v="Installation, Maintenance, and Repair"/>
    <s v="Telecommunications Equipment Installers and Repairers, Except Line Installers"/>
    <s v="Craft Workers"/>
    <s v="49-2022"/>
    <x v="0"/>
    <x v="0"/>
    <n v="3"/>
    <n v="390"/>
    <n v="26514.55"/>
  </r>
  <r>
    <x v="15"/>
    <x v="2"/>
    <x v="26"/>
    <x v="3"/>
    <s v="Installation, Maintenance, and Repair"/>
    <s v="Heating, Air Conditioning, and Refrigeration Mechanics and Installers"/>
    <s v="Craft Workers"/>
    <s v="49-9021"/>
    <x v="0"/>
    <x v="0"/>
    <n v="5"/>
    <n v="738"/>
    <n v="27264.74"/>
  </r>
  <r>
    <x v="0"/>
    <x v="2"/>
    <x v="26"/>
    <x v="3"/>
    <s v="Construction and Extraction"/>
    <s v="Plumbers, Pipefitters, and Steamfitters"/>
    <s v="Craft Workers"/>
    <s v="47-2152"/>
    <x v="0"/>
    <x v="1"/>
    <n v="1"/>
    <n v="200"/>
    <n v="6766"/>
  </r>
  <r>
    <x v="0"/>
    <x v="2"/>
    <x v="26"/>
    <x v="3"/>
    <s v="Construction and Extraction"/>
    <s v="Plumbers, Pipefitters, and Steamfitters"/>
    <s v="Craft Workers"/>
    <s v="47-2152"/>
    <x v="4"/>
    <x v="1"/>
    <n v="1"/>
    <n v="184"/>
    <n v="8300.24"/>
  </r>
  <r>
    <x v="0"/>
    <x v="2"/>
    <x v="26"/>
    <x v="3"/>
    <s v="Construction and Extraction"/>
    <s v="Plumbers, Pipefitters, and Steamfitters"/>
    <s v="Craft Workers"/>
    <s v="47-2152"/>
    <x v="0"/>
    <x v="0"/>
    <n v="8"/>
    <n v="1216"/>
    <n v="55629.39"/>
  </r>
  <r>
    <x v="1"/>
    <x v="2"/>
    <x v="26"/>
    <x v="3"/>
    <s v="Construction and Extraction"/>
    <s v="Carpenters"/>
    <s v="Craft Workers"/>
    <s v="47-2031"/>
    <x v="0"/>
    <x v="0"/>
    <n v="1"/>
    <n v="160"/>
    <n v="8636.7999999999993"/>
  </r>
  <r>
    <x v="26"/>
    <x v="2"/>
    <x v="26"/>
    <x v="3"/>
    <s v="Installation, Maintenance, and Repair"/>
    <s v="Installation, Maintenance, and Repair Workers, All Other"/>
    <s v="Craft Workers"/>
    <s v="49-9099"/>
    <x v="0"/>
    <x v="0"/>
    <n v="1"/>
    <n v="19"/>
    <n v="590.9"/>
  </r>
  <r>
    <x v="10"/>
    <x v="2"/>
    <x v="26"/>
    <x v="3"/>
    <s v="Construction and Extraction"/>
    <s v="Construction Laborers"/>
    <s v="Labors and Helpers"/>
    <s v="47-2061"/>
    <x v="0"/>
    <x v="0"/>
    <n v="2"/>
    <n v="46"/>
    <n v="1219"/>
  </r>
  <r>
    <x v="10"/>
    <x v="2"/>
    <x v="26"/>
    <x v="3"/>
    <s v="Construction and Extraction"/>
    <s v="Tapers"/>
    <s v="Craft Workers"/>
    <s v="47-2082"/>
    <x v="0"/>
    <x v="0"/>
    <n v="2"/>
    <n v="181"/>
    <n v="5509.28"/>
  </r>
  <r>
    <x v="10"/>
    <x v="2"/>
    <x v="26"/>
    <x v="3"/>
    <s v="Construction and Extraction"/>
    <s v="Carpenters"/>
    <s v="Craft Workers"/>
    <s v="47-2031"/>
    <x v="0"/>
    <x v="0"/>
    <n v="11"/>
    <n v="1398"/>
    <n v="41475.53"/>
  </r>
  <r>
    <x v="20"/>
    <x v="2"/>
    <x v="26"/>
    <x v="3"/>
    <s v="Construction and Extraction"/>
    <s v="Insulation Workers, Mechanical"/>
    <s v="Craft Workers"/>
    <s v="47-2132"/>
    <x v="0"/>
    <x v="0"/>
    <n v="2"/>
    <n v="130"/>
    <n v="5543.75"/>
  </r>
  <r>
    <x v="23"/>
    <x v="2"/>
    <x v="26"/>
    <x v="3"/>
    <s v="Construction and Extraction"/>
    <s v="Painters, Construction and Maintenance"/>
    <s v="Craft Workers"/>
    <s v="47-2141"/>
    <x v="0"/>
    <x v="0"/>
    <n v="4"/>
    <n v="110"/>
    <n v="3047.31"/>
  </r>
  <r>
    <x v="8"/>
    <x v="2"/>
    <x v="26"/>
    <x v="3"/>
    <s v="Construction and Extraction"/>
    <s v="Brickmasons and Blockmasons"/>
    <s v="Craft Workers"/>
    <s v="47-2021"/>
    <x v="0"/>
    <x v="0"/>
    <n v="8"/>
    <n v="681"/>
    <n v="23757.65"/>
  </r>
  <r>
    <x v="5"/>
    <x v="2"/>
    <x v="26"/>
    <x v="3"/>
    <s v="Construction and Extraction"/>
    <s v="Electricians"/>
    <s v="Craft Workers"/>
    <s v="47-2111"/>
    <x v="0"/>
    <x v="0"/>
    <n v="13"/>
    <n v="1359"/>
    <n v="56797.39"/>
  </r>
  <r>
    <x v="4"/>
    <x v="2"/>
    <x v="26"/>
    <x v="3"/>
    <s v="Construction and Extraction"/>
    <s v="Plumbers, Pipefitters, and Steamfitters"/>
    <s v="Craft Workers"/>
    <s v="47-2152"/>
    <x v="0"/>
    <x v="0"/>
    <n v="4"/>
    <n v="394.5"/>
    <n v="28467.119999999999"/>
  </r>
  <r>
    <x v="16"/>
    <x v="2"/>
    <x v="26"/>
    <x v="3"/>
    <s v="Construction and Extraction"/>
    <s v="Insulation Workers, Mechanical"/>
    <s v="Craft Workers"/>
    <s v="47-2132"/>
    <x v="2"/>
    <x v="0"/>
    <n v="1"/>
    <n v="8"/>
    <n v="442.24"/>
  </r>
  <r>
    <x v="16"/>
    <x v="2"/>
    <x v="26"/>
    <x v="3"/>
    <s v="Construction and Extraction"/>
    <s v="Insulation Workers, Mechanical"/>
    <s v="Craft Workers"/>
    <s v="47-2132"/>
    <x v="0"/>
    <x v="0"/>
    <n v="4"/>
    <n v="272"/>
    <n v="16039.23"/>
  </r>
  <r>
    <x v="27"/>
    <x v="2"/>
    <x v="26"/>
    <x v="3"/>
    <s v="Construction and Extraction"/>
    <s v="Carpenters"/>
    <s v="Craft Workers"/>
    <s v="47-2031"/>
    <x v="0"/>
    <x v="0"/>
    <n v="3"/>
    <n v="24"/>
    <n v="3470.88"/>
  </r>
  <r>
    <x v="24"/>
    <x v="2"/>
    <x v="26"/>
    <x v="3"/>
    <s v="Installation, Maintenance, and Repair"/>
    <s v="Construction and Related Workers, All Other"/>
    <s v="Craft Workers"/>
    <s v="47-4099"/>
    <x v="0"/>
    <x v="0"/>
    <n v="2"/>
    <n v="384"/>
    <n v="14780.96"/>
  </r>
  <r>
    <x v="24"/>
    <x v="2"/>
    <x v="26"/>
    <x v="3"/>
    <s v="Installation, Maintenance, and Repair"/>
    <s v="Construction and Related Workers, All Other"/>
    <s v="Craft Workers"/>
    <s v="47-4099"/>
    <x v="4"/>
    <x v="0"/>
    <n v="1"/>
    <n v="191"/>
    <n v="8459.58"/>
  </r>
  <r>
    <x v="24"/>
    <x v="2"/>
    <x v="26"/>
    <x v="3"/>
    <s v="Installation, Maintenance, and Repair"/>
    <s v="Construction and Related Workers, All Other"/>
    <s v="Craft Workers"/>
    <s v="47-4099"/>
    <x v="3"/>
    <x v="0"/>
    <n v="1"/>
    <n v="176"/>
    <n v="7481.6"/>
  </r>
  <r>
    <x v="14"/>
    <x v="2"/>
    <x v="26"/>
    <x v="3"/>
    <s v="Construction and Extraction"/>
    <s v="Roofers"/>
    <s v="Craft Workers"/>
    <s v="47-2181"/>
    <x v="4"/>
    <x v="0"/>
    <n v="3"/>
    <n v="212.5"/>
    <n v="5676.7"/>
  </r>
  <r>
    <x v="14"/>
    <x v="2"/>
    <x v="26"/>
    <x v="3"/>
    <s v="Construction and Extraction"/>
    <s v="Roofers"/>
    <s v="Craft Workers"/>
    <s v="47-2181"/>
    <x v="0"/>
    <x v="0"/>
    <n v="7"/>
    <n v="468.5"/>
    <n v="15298.5"/>
  </r>
  <r>
    <x v="14"/>
    <x v="2"/>
    <x v="26"/>
    <x v="3"/>
    <s v="Construction and Extraction"/>
    <s v="Sheet Metal Workers"/>
    <s v="Craft Workers"/>
    <s v="47-2211"/>
    <x v="0"/>
    <x v="0"/>
    <n v="7"/>
    <n v="780"/>
    <n v="28547.1"/>
  </r>
  <r>
    <x v="17"/>
    <x v="2"/>
    <x v="27"/>
    <x v="3"/>
    <s v="Construction and Extraction"/>
    <s v="Glaziers"/>
    <s v="Craft Workers"/>
    <s v="47-2121"/>
    <x v="0"/>
    <x v="0"/>
    <n v="2"/>
    <n v="24"/>
    <n v="1009.44"/>
  </r>
  <r>
    <x v="25"/>
    <x v="2"/>
    <x v="27"/>
    <x v="3"/>
    <s v="Installation, Maintenance, and Repair"/>
    <s v="Telecommunications Equipment Installers and Repairers, Except Line Installers"/>
    <s v="Craft Workers"/>
    <s v="49-2022"/>
    <x v="0"/>
    <x v="0"/>
    <n v="2"/>
    <n v="215.25"/>
    <n v="14569.71"/>
  </r>
  <r>
    <x v="15"/>
    <x v="2"/>
    <x v="27"/>
    <x v="3"/>
    <s v="Installation, Maintenance, and Repair"/>
    <s v="Heating, Air Conditioning, and Refrigeration Mechanics and Installers"/>
    <s v="Craft Workers"/>
    <s v="49-9021"/>
    <x v="0"/>
    <x v="0"/>
    <n v="4"/>
    <n v="512"/>
    <n v="20467.66"/>
  </r>
  <r>
    <x v="0"/>
    <x v="2"/>
    <x v="27"/>
    <x v="3"/>
    <s v="Construction and Extraction"/>
    <s v="Plumbers, Pipefitters, and Steamfitters"/>
    <s v="Craft Workers"/>
    <s v="47-2152"/>
    <x v="0"/>
    <x v="1"/>
    <n v="1"/>
    <n v="152"/>
    <n v="5502.4"/>
  </r>
  <r>
    <x v="0"/>
    <x v="2"/>
    <x v="27"/>
    <x v="3"/>
    <s v="Construction and Extraction"/>
    <s v="Plumbers, Pipefitters, and Steamfitters"/>
    <s v="Craft Workers"/>
    <s v="47-2152"/>
    <x v="4"/>
    <x v="1"/>
    <n v="1"/>
    <n v="152"/>
    <n v="7335.52"/>
  </r>
  <r>
    <x v="0"/>
    <x v="2"/>
    <x v="27"/>
    <x v="3"/>
    <s v="Construction and Extraction"/>
    <s v="Plumbers, Pipefitters, and Steamfitters"/>
    <s v="Craft Workers"/>
    <s v="47-2152"/>
    <x v="0"/>
    <x v="0"/>
    <n v="8"/>
    <n v="950"/>
    <n v="47695.31"/>
  </r>
  <r>
    <x v="1"/>
    <x v="2"/>
    <x v="27"/>
    <x v="3"/>
    <s v="Construction and Extraction"/>
    <s v="Carpenters"/>
    <s v="Craft Workers"/>
    <s v="47-2031"/>
    <x v="0"/>
    <x v="0"/>
    <n v="1"/>
    <n v="144"/>
    <n v="7773.12"/>
  </r>
  <r>
    <x v="18"/>
    <x v="2"/>
    <x v="27"/>
    <x v="3"/>
    <s v="Construction and Extraction"/>
    <s v="Cement Masons and Concrete Finishers"/>
    <s v="Craft Workers"/>
    <s v="47-2051"/>
    <x v="0"/>
    <x v="0"/>
    <n v="2"/>
    <n v="12"/>
    <n v="404.16"/>
  </r>
  <r>
    <x v="18"/>
    <x v="2"/>
    <x v="27"/>
    <x v="3"/>
    <s v="Construction and Extraction"/>
    <s v="Cement Masons and Concrete Finishers"/>
    <s v="Craft Workers"/>
    <s v="47-2051"/>
    <x v="2"/>
    <x v="0"/>
    <n v="1"/>
    <n v="43"/>
    <n v="1448.24"/>
  </r>
  <r>
    <x v="10"/>
    <x v="2"/>
    <x v="27"/>
    <x v="3"/>
    <s v="Construction and Extraction"/>
    <s v="Carpenters"/>
    <s v="Craft Workers"/>
    <s v="47-2031"/>
    <x v="0"/>
    <x v="0"/>
    <n v="12"/>
    <n v="1372"/>
    <n v="40192.83"/>
  </r>
  <r>
    <x v="10"/>
    <x v="2"/>
    <x v="27"/>
    <x v="3"/>
    <s v="Construction and Extraction"/>
    <s v="Construction Laborers"/>
    <s v="Labors and Helpers"/>
    <s v="47-2061"/>
    <x v="0"/>
    <x v="0"/>
    <n v="2"/>
    <n v="64.5"/>
    <n v="1709.25"/>
  </r>
  <r>
    <x v="10"/>
    <x v="2"/>
    <x v="27"/>
    <x v="3"/>
    <s v="Construction and Extraction"/>
    <s v="Tapers"/>
    <s v="Craft Workers"/>
    <s v="47-2082"/>
    <x v="0"/>
    <x v="0"/>
    <n v="4"/>
    <n v="408"/>
    <n v="11321.28"/>
  </r>
  <r>
    <x v="20"/>
    <x v="2"/>
    <x v="27"/>
    <x v="3"/>
    <s v="Construction and Extraction"/>
    <s v="Helpers--Extraction Workers"/>
    <s v="Craft Workers"/>
    <s v="47-5081"/>
    <x v="0"/>
    <x v="0"/>
    <n v="1"/>
    <n v="16"/>
    <n v="340.64"/>
  </r>
  <r>
    <x v="20"/>
    <x v="2"/>
    <x v="27"/>
    <x v="3"/>
    <s v="Construction and Extraction"/>
    <s v="Insulation Workers, Mechanical"/>
    <s v="Craft Workers"/>
    <s v="47-2132"/>
    <x v="0"/>
    <x v="0"/>
    <n v="2"/>
    <n v="77.5"/>
    <n v="3386.59"/>
  </r>
  <r>
    <x v="20"/>
    <x v="2"/>
    <x v="27"/>
    <x v="3"/>
    <s v="Construction and Extraction"/>
    <s v="Insulation Workers, Mechanical"/>
    <s v="Craft Workers"/>
    <s v="47-2132"/>
    <x v="0"/>
    <x v="0"/>
    <n v="2"/>
    <n v="112"/>
    <n v="3564.8"/>
  </r>
  <r>
    <x v="23"/>
    <x v="2"/>
    <x v="27"/>
    <x v="3"/>
    <s v="Construction and Extraction"/>
    <s v="Painters, Construction and Maintenance"/>
    <s v="Craft Workers"/>
    <s v="47-2141"/>
    <x v="3"/>
    <x v="0"/>
    <n v="1"/>
    <n v="16"/>
    <n v="527.67999999999995"/>
  </r>
  <r>
    <x v="23"/>
    <x v="2"/>
    <x v="27"/>
    <x v="3"/>
    <s v="Construction and Extraction"/>
    <s v="Painters, Construction and Maintenance"/>
    <s v="Craft Workers"/>
    <s v="47-2141"/>
    <x v="0"/>
    <x v="0"/>
    <n v="2"/>
    <n v="120"/>
    <n v="3384"/>
  </r>
  <r>
    <x v="8"/>
    <x v="2"/>
    <x v="27"/>
    <x v="3"/>
    <s v="Construction and Extraction"/>
    <s v="Brickmasons and Blockmasons"/>
    <s v="Craft Workers"/>
    <s v="47-2021"/>
    <x v="0"/>
    <x v="0"/>
    <n v="6"/>
    <n v="670.5"/>
    <n v="23638.400000000001"/>
  </r>
  <r>
    <x v="28"/>
    <x v="2"/>
    <x v="27"/>
    <x v="3"/>
    <s v="Construction and Extraction"/>
    <s v="Tile and Marble Setters"/>
    <s v="Craft Workers"/>
    <s v="47-2044"/>
    <x v="0"/>
    <x v="0"/>
    <n v="2"/>
    <n v="164"/>
    <n v="5689.16"/>
  </r>
  <r>
    <x v="5"/>
    <x v="2"/>
    <x v="27"/>
    <x v="3"/>
    <s v="Construction and Extraction"/>
    <s v="Electricians"/>
    <s v="Craft Workers"/>
    <s v="47-2111"/>
    <x v="2"/>
    <x v="0"/>
    <n v="1"/>
    <n v="143"/>
    <n v="6447"/>
  </r>
  <r>
    <x v="5"/>
    <x v="2"/>
    <x v="27"/>
    <x v="3"/>
    <s v="Construction and Extraction"/>
    <s v="Electricians"/>
    <s v="Craft Workers"/>
    <s v="47-2111"/>
    <x v="0"/>
    <x v="0"/>
    <n v="12"/>
    <n v="1517"/>
    <n v="64623.19"/>
  </r>
  <r>
    <x v="4"/>
    <x v="2"/>
    <x v="27"/>
    <x v="3"/>
    <s v="Construction and Extraction"/>
    <s v="Plumbers, Pipefitters, and Steamfitters"/>
    <s v="Craft Workers"/>
    <s v="47-2152"/>
    <x v="0"/>
    <x v="0"/>
    <n v="8"/>
    <n v="468"/>
    <n v="35916.76"/>
  </r>
  <r>
    <x v="21"/>
    <x v="2"/>
    <x v="27"/>
    <x v="3"/>
    <s v="Construction and Extraction"/>
    <s v="Structural Iron and Steel Workers"/>
    <s v="Craft Workers"/>
    <s v="47-2221"/>
    <x v="0"/>
    <x v="0"/>
    <n v="10"/>
    <n v="151.22999999999999"/>
    <n v="5268.89"/>
  </r>
  <r>
    <x v="21"/>
    <x v="2"/>
    <x v="27"/>
    <x v="3"/>
    <s v="Construction and Extraction"/>
    <s v="Structural Iron and Steel Workers"/>
    <s v="Craft Workers"/>
    <s v="47-2221"/>
    <x v="1"/>
    <x v="0"/>
    <n v="1"/>
    <n v="51.3"/>
    <n v="1789.67"/>
  </r>
  <r>
    <x v="21"/>
    <x v="2"/>
    <x v="27"/>
    <x v="3"/>
    <s v="Construction and Extraction"/>
    <s v="Operating Engineers and Other Construction Equipment Operators"/>
    <s v="Craft Workers"/>
    <s v="47-2073"/>
    <x v="0"/>
    <x v="0"/>
    <n v="1"/>
    <n v="6.58"/>
    <n v="313.49"/>
  </r>
  <r>
    <x v="16"/>
    <x v="2"/>
    <x v="27"/>
    <x v="3"/>
    <s v="Construction and Extraction"/>
    <s v="Insulation Workers, Mechanical"/>
    <s v="Craft Workers"/>
    <s v="47-2132"/>
    <x v="0"/>
    <x v="0"/>
    <n v="3"/>
    <n v="256"/>
    <n v="15896.75"/>
  </r>
  <r>
    <x v="24"/>
    <x v="2"/>
    <x v="27"/>
    <x v="3"/>
    <s v="Installation, Maintenance, and Repair"/>
    <s v="Construction and Related Workers, All Other"/>
    <s v="Craft Workers"/>
    <s v="47-4099"/>
    <x v="0"/>
    <x v="0"/>
    <n v="2"/>
    <n v="312"/>
    <n v="12336.72"/>
  </r>
  <r>
    <x v="24"/>
    <x v="2"/>
    <x v="27"/>
    <x v="3"/>
    <s v="Installation, Maintenance, and Repair"/>
    <s v="Construction and Related Workers, All Other"/>
    <s v="Craft Workers"/>
    <s v="47-4099"/>
    <x v="4"/>
    <x v="0"/>
    <n v="1"/>
    <n v="80"/>
    <n v="3604.8"/>
  </r>
  <r>
    <x v="24"/>
    <x v="2"/>
    <x v="27"/>
    <x v="3"/>
    <s v="Installation, Maintenance, and Repair"/>
    <s v="Construction and Related Workers, All Other"/>
    <s v="Craft Workers"/>
    <s v="47-4099"/>
    <x v="3"/>
    <x v="0"/>
    <n v="1"/>
    <n v="80"/>
    <n v="3464"/>
  </r>
  <r>
    <x v="2"/>
    <x v="2"/>
    <x v="27"/>
    <x v="3"/>
    <s v="Construction and Extraction"/>
    <s v="First-Line Supervisors of Construction Trades and Extraction Workers"/>
    <s v="Craft Workers"/>
    <s v="47-1011"/>
    <x v="0"/>
    <x v="0"/>
    <n v="1"/>
    <n v="4"/>
    <n v="262"/>
  </r>
  <r>
    <x v="2"/>
    <x v="2"/>
    <x v="27"/>
    <x v="3"/>
    <s v="Construction and Extraction"/>
    <s v="Hazardous Materials Removal Workers"/>
    <s v="Craft Workers"/>
    <s v="47-4041"/>
    <x v="0"/>
    <x v="0"/>
    <n v="1"/>
    <n v="14"/>
    <n v="716.8"/>
  </r>
  <r>
    <x v="2"/>
    <x v="2"/>
    <x v="27"/>
    <x v="3"/>
    <s v="Construction and Extraction"/>
    <s v="Hazardous Materials Removal Workers"/>
    <s v="Craft Workers"/>
    <s v="47-4041"/>
    <x v="2"/>
    <x v="0"/>
    <n v="1"/>
    <n v="18"/>
    <n v="790.2"/>
  </r>
  <r>
    <x v="2"/>
    <x v="2"/>
    <x v="27"/>
    <x v="3"/>
    <s v="Construction and Extraction"/>
    <s v="Hazardous Materials Removal Workers"/>
    <s v="Craft Workers"/>
    <s v="47-4041"/>
    <x v="3"/>
    <x v="0"/>
    <n v="1"/>
    <n v="14.5"/>
    <n v="749.53"/>
  </r>
  <r>
    <x v="14"/>
    <x v="2"/>
    <x v="27"/>
    <x v="3"/>
    <s v="Construction and Extraction"/>
    <s v="Roofers"/>
    <s v="Craft Workers"/>
    <s v="47-2181"/>
    <x v="4"/>
    <x v="0"/>
    <n v="1"/>
    <n v="19.5"/>
    <n v="507.2"/>
  </r>
  <r>
    <x v="14"/>
    <x v="2"/>
    <x v="27"/>
    <x v="3"/>
    <s v="Construction and Extraction"/>
    <s v="Roofers"/>
    <s v="Craft Workers"/>
    <s v="47-2181"/>
    <x v="0"/>
    <x v="0"/>
    <n v="7"/>
    <n v="223.5"/>
    <n v="7262.92"/>
  </r>
  <r>
    <x v="14"/>
    <x v="2"/>
    <x v="27"/>
    <x v="3"/>
    <s v="Construction and Extraction"/>
    <s v="Sheet Metal Workers"/>
    <s v="Craft Workers"/>
    <s v="47-2211"/>
    <x v="0"/>
    <x v="0"/>
    <n v="8"/>
    <n v="852"/>
    <n v="34528.410000000003"/>
  </r>
  <r>
    <x v="17"/>
    <x v="2"/>
    <x v="28"/>
    <x v="3"/>
    <s v="Construction and Extraction"/>
    <s v="Glaziers"/>
    <s v="Craft Workers"/>
    <s v="47-2121"/>
    <x v="0"/>
    <x v="0"/>
    <n v="6"/>
    <n v="164"/>
    <n v="6880.72"/>
  </r>
  <r>
    <x v="25"/>
    <x v="2"/>
    <x v="28"/>
    <x v="3"/>
    <s v="Installation, Maintenance, and Repair"/>
    <s v="Telecommunications Equipment Installers and Repairers, Except Line Installers"/>
    <s v="Craft Workers"/>
    <s v="49-2022"/>
    <x v="0"/>
    <x v="0"/>
    <n v="3"/>
    <n v="305"/>
    <n v="20737"/>
  </r>
  <r>
    <x v="15"/>
    <x v="2"/>
    <x v="28"/>
    <x v="3"/>
    <s v="Installation, Maintenance, and Repair"/>
    <s v="Heating, Air Conditioning, and Refrigeration Mechanics and Installers"/>
    <s v="Craft Workers"/>
    <s v="49-9021"/>
    <x v="0"/>
    <x v="0"/>
    <n v="5"/>
    <n v="655"/>
    <n v="25744.799999999999"/>
  </r>
  <r>
    <x v="0"/>
    <x v="2"/>
    <x v="28"/>
    <x v="3"/>
    <s v="Construction and Extraction"/>
    <s v="Plumbers, Pipefitters, and Steamfitters"/>
    <s v="Craft Workers"/>
    <s v="47-2152"/>
    <x v="0"/>
    <x v="1"/>
    <n v="1"/>
    <n v="168"/>
    <n v="6177.6"/>
  </r>
  <r>
    <x v="0"/>
    <x v="2"/>
    <x v="28"/>
    <x v="3"/>
    <s v="Construction and Extraction"/>
    <s v="Plumbers, Pipefitters, and Steamfitters"/>
    <s v="Craft Workers"/>
    <s v="47-2152"/>
    <x v="4"/>
    <x v="1"/>
    <n v="1"/>
    <n v="160"/>
    <n v="7721.6"/>
  </r>
  <r>
    <x v="0"/>
    <x v="2"/>
    <x v="28"/>
    <x v="3"/>
    <s v="Construction and Extraction"/>
    <s v="Plumbers, Pipefitters, and Steamfitters"/>
    <s v="Craft Workers"/>
    <s v="47-2152"/>
    <x v="0"/>
    <x v="0"/>
    <n v="5"/>
    <n v="822"/>
    <n v="40906.94"/>
  </r>
  <r>
    <x v="26"/>
    <x v="2"/>
    <x v="28"/>
    <x v="3"/>
    <s v="Installation, Maintenance, and Repair"/>
    <s v="Installation, Maintenance, and Repair Workers, All Other"/>
    <s v="Craft Workers"/>
    <s v="49-9099"/>
    <x v="0"/>
    <x v="0"/>
    <n v="5"/>
    <n v="158"/>
    <n v="4562.66"/>
  </r>
  <r>
    <x v="18"/>
    <x v="2"/>
    <x v="28"/>
    <x v="3"/>
    <s v="Construction and Extraction"/>
    <s v="Cement Masons and Concrete Finishers"/>
    <s v="Craft Workers"/>
    <s v="47-2051"/>
    <x v="0"/>
    <x v="0"/>
    <n v="2"/>
    <n v="16"/>
    <n v="538.88"/>
  </r>
  <r>
    <x v="10"/>
    <x v="2"/>
    <x v="28"/>
    <x v="3"/>
    <s v="Construction and Extraction"/>
    <s v="Carpenters"/>
    <s v="Craft Workers"/>
    <s v="47-2031"/>
    <x v="0"/>
    <x v="0"/>
    <n v="11"/>
    <n v="1327"/>
    <n v="39843.230000000003"/>
  </r>
  <r>
    <x v="10"/>
    <x v="2"/>
    <x v="28"/>
    <x v="3"/>
    <s v="Construction and Extraction"/>
    <s v="Construction Laborers"/>
    <s v="Labors and Helpers"/>
    <s v="47-2061"/>
    <x v="0"/>
    <x v="0"/>
    <n v="1"/>
    <n v="80"/>
    <n v="2120"/>
  </r>
  <r>
    <x v="10"/>
    <x v="2"/>
    <x v="28"/>
    <x v="3"/>
    <s v="Construction and Extraction"/>
    <s v="Tapers"/>
    <s v="Craft Workers"/>
    <s v="47-2082"/>
    <x v="0"/>
    <x v="0"/>
    <n v="3"/>
    <n v="402"/>
    <n v="12265.22"/>
  </r>
  <r>
    <x v="20"/>
    <x v="2"/>
    <x v="28"/>
    <x v="3"/>
    <s v="Construction and Extraction"/>
    <s v="Helpers--Extraction Workers"/>
    <s v="Craft Workers"/>
    <s v="47-5081"/>
    <x v="0"/>
    <x v="0"/>
    <n v="1"/>
    <n v="24"/>
    <n v="514.08000000000004"/>
  </r>
  <r>
    <x v="20"/>
    <x v="2"/>
    <x v="28"/>
    <x v="3"/>
    <s v="Construction and Extraction"/>
    <s v="Insulation Workers, Mechanical"/>
    <s v="Craft Workers"/>
    <s v="47-2132"/>
    <x v="0"/>
    <x v="0"/>
    <n v="2"/>
    <n v="44"/>
    <n v="1367.9"/>
  </r>
  <r>
    <x v="20"/>
    <x v="2"/>
    <x v="28"/>
    <x v="3"/>
    <s v="Construction and Extraction"/>
    <s v="Insulation Workers, Mechanical"/>
    <s v="Craft Workers"/>
    <s v="47-2132"/>
    <x v="0"/>
    <x v="0"/>
    <n v="2"/>
    <n v="69"/>
    <n v="3089.79"/>
  </r>
  <r>
    <x v="23"/>
    <x v="2"/>
    <x v="28"/>
    <x v="3"/>
    <s v="Construction and Extraction"/>
    <s v="Painters, Construction and Maintenance"/>
    <s v="Craft Workers"/>
    <s v="47-2141"/>
    <x v="0"/>
    <x v="0"/>
    <n v="2"/>
    <n v="122"/>
    <n v="3504.42"/>
  </r>
  <r>
    <x v="23"/>
    <x v="2"/>
    <x v="28"/>
    <x v="3"/>
    <s v="Construction and Extraction"/>
    <s v="Painters, Construction and Maintenance"/>
    <s v="Craft Workers"/>
    <s v="47-2141"/>
    <x v="0"/>
    <x v="1"/>
    <n v="1"/>
    <n v="76"/>
    <n v="1404"/>
  </r>
  <r>
    <x v="8"/>
    <x v="2"/>
    <x v="28"/>
    <x v="3"/>
    <s v="Construction and Extraction"/>
    <s v="Brickmasons and Blockmasons"/>
    <s v="Craft Workers"/>
    <s v="47-2021"/>
    <x v="0"/>
    <x v="0"/>
    <n v="4"/>
    <n v="170"/>
    <n v="5636.61"/>
  </r>
  <r>
    <x v="28"/>
    <x v="2"/>
    <x v="28"/>
    <x v="3"/>
    <s v="Construction and Extraction"/>
    <s v="Tile and Marble Setters"/>
    <s v="Craft Workers"/>
    <s v="47-2044"/>
    <x v="0"/>
    <x v="0"/>
    <n v="3"/>
    <n v="80"/>
    <n v="2721.44"/>
  </r>
  <r>
    <x v="5"/>
    <x v="2"/>
    <x v="28"/>
    <x v="3"/>
    <s v="Construction and Extraction"/>
    <s v="Electricians"/>
    <s v="Craft Workers"/>
    <s v="47-2111"/>
    <x v="2"/>
    <x v="0"/>
    <n v="1"/>
    <n v="4"/>
    <n v="267"/>
  </r>
  <r>
    <x v="5"/>
    <x v="2"/>
    <x v="28"/>
    <x v="3"/>
    <s v="Construction and Extraction"/>
    <s v="Electricians"/>
    <s v="Craft Workers"/>
    <s v="47-2111"/>
    <x v="0"/>
    <x v="0"/>
    <n v="14"/>
    <n v="976.5"/>
    <n v="45233.2"/>
  </r>
  <r>
    <x v="5"/>
    <x v="2"/>
    <x v="28"/>
    <x v="3"/>
    <s v="Construction and Extraction"/>
    <s v="Electricians"/>
    <s v="Craft Workers"/>
    <s v="47-2111"/>
    <x v="0"/>
    <x v="0"/>
    <n v="3"/>
    <n v="376"/>
    <n v="12027.78"/>
  </r>
  <r>
    <x v="29"/>
    <x v="2"/>
    <x v="28"/>
    <x v="3"/>
    <s v="Installation, Maintenance, and Repair"/>
    <s v="Helpers--Installation, Maintenance, and Repair Workers"/>
    <s v="Labors and Helpers"/>
    <s v="49-9098"/>
    <x v="4"/>
    <x v="0"/>
    <n v="1"/>
    <n v="36"/>
    <n v="1771.2"/>
  </r>
  <r>
    <x v="29"/>
    <x v="2"/>
    <x v="28"/>
    <x v="3"/>
    <s v="Installation, Maintenance, and Repair"/>
    <s v="Helpers--Installation, Maintenance, and Repair Workers"/>
    <s v="Labors and Helpers"/>
    <s v="49-9098"/>
    <x v="1"/>
    <x v="0"/>
    <n v="2"/>
    <n v="64"/>
    <n v="3148.8"/>
  </r>
  <r>
    <x v="4"/>
    <x v="2"/>
    <x v="28"/>
    <x v="3"/>
    <s v="Construction and Extraction"/>
    <s v="Plumbers, Pipefitters, and Steamfitters"/>
    <s v="Craft Workers"/>
    <s v="47-2152"/>
    <x v="0"/>
    <x v="0"/>
    <n v="6"/>
    <n v="587"/>
    <n v="44852.67"/>
  </r>
  <r>
    <x v="30"/>
    <x v="2"/>
    <x v="28"/>
    <x v="3"/>
    <s v="Construction and Extraction"/>
    <s v="Carpenters"/>
    <s v="Craft Workers"/>
    <s v="47-2031"/>
    <x v="0"/>
    <x v="0"/>
    <n v="4"/>
    <n v="48"/>
    <n v="1299.24"/>
  </r>
  <r>
    <x v="21"/>
    <x v="2"/>
    <x v="28"/>
    <x v="3"/>
    <s v="Construction and Extraction"/>
    <s v="Structural Iron and Steel Workers"/>
    <s v="Craft Workers"/>
    <s v="47-2221"/>
    <x v="0"/>
    <x v="0"/>
    <n v="1"/>
    <n v="3.68"/>
    <n v="134.44"/>
  </r>
  <r>
    <x v="22"/>
    <x v="2"/>
    <x v="28"/>
    <x v="3"/>
    <s v="Construction and Extraction"/>
    <s v="Construction Laborers"/>
    <s v="Labors and Helpers"/>
    <s v="47-2061"/>
    <x v="0"/>
    <x v="0"/>
    <n v="3"/>
    <n v="199.5"/>
    <n v="8452.2800000000007"/>
  </r>
  <r>
    <x v="22"/>
    <x v="2"/>
    <x v="28"/>
    <x v="3"/>
    <s v="Construction and Extraction"/>
    <s v="Carpenters"/>
    <s v="Craft Workers"/>
    <s v="47-2031"/>
    <x v="0"/>
    <x v="0"/>
    <n v="1"/>
    <n v="100.03"/>
    <n v="4361.29"/>
  </r>
  <r>
    <x v="16"/>
    <x v="2"/>
    <x v="28"/>
    <x v="3"/>
    <s v="Construction and Extraction"/>
    <s v="Insulation Workers, Mechanical"/>
    <s v="Craft Workers"/>
    <s v="47-2132"/>
    <x v="0"/>
    <x v="0"/>
    <n v="2"/>
    <n v="160"/>
    <n v="9872.48"/>
  </r>
  <r>
    <x v="24"/>
    <x v="2"/>
    <x v="28"/>
    <x v="3"/>
    <s v="Installation, Maintenance, and Repair"/>
    <s v="Construction and Related Workers, All Other"/>
    <s v="Craft Workers"/>
    <s v="47-4099"/>
    <x v="0"/>
    <x v="0"/>
    <n v="2"/>
    <n v="390"/>
    <n v="15384.9"/>
  </r>
  <r>
    <x v="24"/>
    <x v="2"/>
    <x v="28"/>
    <x v="3"/>
    <s v="Installation, Maintenance, and Repair"/>
    <s v="Construction and Related Workers, All Other"/>
    <s v="Craft Workers"/>
    <s v="47-4099"/>
    <x v="4"/>
    <x v="0"/>
    <n v="1"/>
    <n v="59.5"/>
    <n v="2750.95"/>
  </r>
  <r>
    <x v="24"/>
    <x v="2"/>
    <x v="28"/>
    <x v="3"/>
    <s v="Installation, Maintenance, and Repair"/>
    <s v="Construction and Related Workers, All Other"/>
    <s v="Craft Workers"/>
    <s v="47-4099"/>
    <x v="3"/>
    <x v="0"/>
    <n v="1"/>
    <n v="27.5"/>
    <n v="1190.75"/>
  </r>
  <r>
    <x v="14"/>
    <x v="2"/>
    <x v="28"/>
    <x v="3"/>
    <s v="Construction and Extraction"/>
    <s v="Sheet Metal Workers"/>
    <s v="Craft Workers"/>
    <s v="47-2211"/>
    <x v="0"/>
    <x v="0"/>
    <n v="6"/>
    <n v="524"/>
    <n v="20355.939999999999"/>
  </r>
  <r>
    <x v="14"/>
    <x v="2"/>
    <x v="28"/>
    <x v="3"/>
    <s v="Construction and Extraction"/>
    <s v="Roofers"/>
    <s v="Craft Workers"/>
    <s v="47-2181"/>
    <x v="0"/>
    <x v="0"/>
    <n v="3"/>
    <n v="6"/>
    <n v="207.04"/>
  </r>
  <r>
    <x v="17"/>
    <x v="2"/>
    <x v="29"/>
    <x v="0"/>
    <s v="Construction and Extraction"/>
    <s v="Glaziers"/>
    <s v="Craft Workers"/>
    <s v="47-2121"/>
    <x v="0"/>
    <x v="0"/>
    <n v="5"/>
    <n v="80"/>
    <n v="3180.64"/>
  </r>
  <r>
    <x v="31"/>
    <x v="2"/>
    <x v="29"/>
    <x v="0"/>
    <s v="Construction and Extraction"/>
    <s v="Carpenters"/>
    <s v="Craft Workers"/>
    <s v="47-2031"/>
    <x v="0"/>
    <x v="0"/>
    <n v="4"/>
    <n v="62"/>
    <n v="2121.02"/>
  </r>
  <r>
    <x v="25"/>
    <x v="2"/>
    <x v="29"/>
    <x v="0"/>
    <s v="Installation, Maintenance, and Repair"/>
    <s v="Telecommunications Equipment Installers and Repairers, Except Line Installers"/>
    <s v="Craft Workers"/>
    <s v="49-2022"/>
    <x v="0"/>
    <x v="0"/>
    <n v="2"/>
    <n v="256"/>
    <n v="18468.580000000002"/>
  </r>
  <r>
    <x v="15"/>
    <x v="2"/>
    <x v="29"/>
    <x v="0"/>
    <s v="Installation, Maintenance, and Repair"/>
    <s v="Heating, Air Conditioning, and Refrigeration Mechanics and Installers"/>
    <s v="Craft Workers"/>
    <s v="49-9021"/>
    <x v="0"/>
    <x v="0"/>
    <n v="4"/>
    <n v="719"/>
    <n v="28710.47"/>
  </r>
  <r>
    <x v="0"/>
    <x v="2"/>
    <x v="29"/>
    <x v="0"/>
    <s v="Construction and Extraction"/>
    <s v="Plumbers, Pipefitters, and Steamfitters"/>
    <s v="Craft Workers"/>
    <s v="47-2152"/>
    <x v="0"/>
    <x v="0"/>
    <n v="7"/>
    <n v="960"/>
    <n v="46210.49"/>
  </r>
  <r>
    <x v="0"/>
    <x v="2"/>
    <x v="29"/>
    <x v="0"/>
    <s v="Construction and Extraction"/>
    <s v="Plumbers, Pipefitters, and Steamfitters"/>
    <s v="Craft Workers"/>
    <s v="47-2152"/>
    <x v="4"/>
    <x v="1"/>
    <n v="1"/>
    <n v="72"/>
    <n v="2953.44"/>
  </r>
  <r>
    <x v="0"/>
    <x v="2"/>
    <x v="29"/>
    <x v="0"/>
    <s v="Construction and Extraction"/>
    <s v="Plumbers, Pipefitters, and Steamfitters"/>
    <s v="Craft Workers"/>
    <s v="47-2152"/>
    <x v="0"/>
    <x v="1"/>
    <n v="1"/>
    <n v="192"/>
    <n v="9265.92"/>
  </r>
  <r>
    <x v="26"/>
    <x v="2"/>
    <x v="29"/>
    <x v="0"/>
    <s v="Installation, Maintenance, and Repair"/>
    <s v="Installation, Maintenance, and Repair Workers, All Other"/>
    <s v="Craft Workers"/>
    <s v="49-9099"/>
    <x v="0"/>
    <x v="0"/>
    <n v="4"/>
    <n v="531.75"/>
    <n v="16390.41"/>
  </r>
  <r>
    <x v="10"/>
    <x v="2"/>
    <x v="29"/>
    <x v="0"/>
    <s v="Construction and Extraction"/>
    <s v="Carpenters"/>
    <s v="Craft Workers"/>
    <s v="47-2031"/>
    <x v="0"/>
    <x v="0"/>
    <n v="7"/>
    <n v="849"/>
    <n v="22877.97"/>
  </r>
  <r>
    <x v="10"/>
    <x v="2"/>
    <x v="29"/>
    <x v="0"/>
    <s v="Construction and Extraction"/>
    <s v="Construction Laborers"/>
    <s v="Labors and Helpers"/>
    <s v="47-2061"/>
    <x v="0"/>
    <x v="0"/>
    <n v="2"/>
    <n v="69"/>
    <n v="2070"/>
  </r>
  <r>
    <x v="10"/>
    <x v="2"/>
    <x v="29"/>
    <x v="0"/>
    <s v="Construction and Extraction"/>
    <s v="Tapers"/>
    <s v="Craft Workers"/>
    <s v="47-2082"/>
    <x v="0"/>
    <x v="0"/>
    <n v="3"/>
    <n v="369"/>
    <n v="13311.13"/>
  </r>
  <r>
    <x v="20"/>
    <x v="2"/>
    <x v="29"/>
    <x v="0"/>
    <s v="Construction and Extraction"/>
    <s v="Helpers--Extraction Workers"/>
    <s v="Craft Workers"/>
    <s v="47-5081"/>
    <x v="0"/>
    <x v="0"/>
    <n v="2"/>
    <n v="32"/>
    <n v="784.64"/>
  </r>
  <r>
    <x v="20"/>
    <x v="2"/>
    <x v="29"/>
    <x v="0"/>
    <s v="Construction and Extraction"/>
    <s v="Insulation Workers, Mechanical"/>
    <s v="Craft Workers"/>
    <s v="47-2132"/>
    <x v="0"/>
    <x v="0"/>
    <n v="3"/>
    <n v="120"/>
    <n v="5383.76"/>
  </r>
  <r>
    <x v="23"/>
    <x v="2"/>
    <x v="29"/>
    <x v="0"/>
    <s v="Construction and Extraction"/>
    <s v="Painters, Construction and Maintenance"/>
    <s v="Craft Workers"/>
    <s v="47-2141"/>
    <x v="0"/>
    <x v="0"/>
    <n v="1"/>
    <n v="122"/>
    <n v="3553.2"/>
  </r>
  <r>
    <x v="23"/>
    <x v="2"/>
    <x v="29"/>
    <x v="0"/>
    <s v="Construction and Extraction"/>
    <s v="Painters, Construction and Maintenance"/>
    <s v="Craft Workers"/>
    <s v="47-2141"/>
    <x v="0"/>
    <x v="1"/>
    <n v="1"/>
    <n v="122"/>
    <n v="2268"/>
  </r>
  <r>
    <x v="23"/>
    <x v="2"/>
    <x v="29"/>
    <x v="0"/>
    <s v="Construction and Extraction"/>
    <s v="Painters, Construction and Maintenance"/>
    <s v="Craft Workers"/>
    <s v="47-2141"/>
    <x v="3"/>
    <x v="0"/>
    <n v="2"/>
    <n v="8"/>
    <n v="235.92"/>
  </r>
  <r>
    <x v="8"/>
    <x v="2"/>
    <x v="29"/>
    <x v="0"/>
    <s v="Construction and Extraction"/>
    <s v="Brickmasons and Blockmasons"/>
    <s v="Craft Workers"/>
    <s v="47-2021"/>
    <x v="0"/>
    <x v="0"/>
    <n v="2"/>
    <n v="16"/>
    <n v="586.88"/>
  </r>
  <r>
    <x v="28"/>
    <x v="2"/>
    <x v="29"/>
    <x v="0"/>
    <s v="Construction and Extraction"/>
    <s v="Tile and Marble Setters"/>
    <s v="Craft Workers"/>
    <s v="47-2044"/>
    <x v="0"/>
    <x v="0"/>
    <n v="4"/>
    <n v="225"/>
    <n v="7583.49"/>
  </r>
  <r>
    <x v="5"/>
    <x v="2"/>
    <x v="29"/>
    <x v="0"/>
    <s v="Construction and Extraction"/>
    <s v="Electricians"/>
    <s v="Craft Workers"/>
    <s v="47-2111"/>
    <x v="2"/>
    <x v="0"/>
    <n v="1"/>
    <n v="54"/>
    <n v="2695.5"/>
  </r>
  <r>
    <x v="5"/>
    <x v="2"/>
    <x v="29"/>
    <x v="0"/>
    <s v="Construction and Extraction"/>
    <s v="Electricians"/>
    <s v="Craft Workers"/>
    <s v="47-2111"/>
    <x v="0"/>
    <x v="0"/>
    <n v="14"/>
    <n v="1795"/>
    <n v="62925.65"/>
  </r>
  <r>
    <x v="5"/>
    <x v="2"/>
    <x v="29"/>
    <x v="0"/>
    <s v="Construction and Extraction"/>
    <s v="Electricians"/>
    <s v="Craft Workers"/>
    <s v="47-2111"/>
    <x v="0"/>
    <x v="0"/>
    <n v="3"/>
    <n v="367"/>
    <n v="13802.76"/>
  </r>
  <r>
    <x v="29"/>
    <x v="2"/>
    <x v="29"/>
    <x v="0"/>
    <s v="Installation, Maintenance, and Repair"/>
    <s v="Helpers--Installation, Maintenance, and Repair Workers"/>
    <s v="Labors and Helpers"/>
    <s v="49-9098"/>
    <x v="4"/>
    <x v="0"/>
    <n v="1"/>
    <n v="32"/>
    <n v="1648"/>
  </r>
  <r>
    <x v="4"/>
    <x v="2"/>
    <x v="29"/>
    <x v="0"/>
    <s v="Construction and Extraction"/>
    <s v="Plumbers, Pipefitters, and Steamfitters"/>
    <s v="Craft Workers"/>
    <s v="47-2152"/>
    <x v="0"/>
    <x v="0"/>
    <n v="6"/>
    <n v="506"/>
    <n v="38663.46"/>
  </r>
  <r>
    <x v="30"/>
    <x v="2"/>
    <x v="29"/>
    <x v="0"/>
    <s v="Construction and Extraction"/>
    <s v="Carpenters"/>
    <s v="Craft Workers"/>
    <s v="47-2031"/>
    <x v="0"/>
    <x v="0"/>
    <n v="3"/>
    <n v="80"/>
    <n v="2435.2800000000002"/>
  </r>
  <r>
    <x v="21"/>
    <x v="2"/>
    <x v="29"/>
    <x v="0"/>
    <s v="Construction and Extraction"/>
    <s v="Structural Iron and Steel Workers"/>
    <s v="Craft Workers"/>
    <s v="47-2221"/>
    <x v="0"/>
    <x v="0"/>
    <n v="3"/>
    <n v="20.65"/>
    <n v="815.68"/>
  </r>
  <r>
    <x v="32"/>
    <x v="2"/>
    <x v="29"/>
    <x v="0"/>
    <s v="Construction and Extraction"/>
    <s v="Fence Erectors"/>
    <s v="Craft Workers"/>
    <s v="47-4031"/>
    <x v="0"/>
    <x v="0"/>
    <n v="1"/>
    <n v="5.75"/>
    <n v="220"/>
  </r>
  <r>
    <x v="16"/>
    <x v="2"/>
    <x v="29"/>
    <x v="0"/>
    <s v="Construction and Extraction"/>
    <s v="Insulation Workers, Mechanical"/>
    <s v="Craft Workers"/>
    <s v="47-2132"/>
    <x v="0"/>
    <x v="0"/>
    <n v="2"/>
    <n v="202"/>
    <n v="12051.59"/>
  </r>
  <r>
    <x v="24"/>
    <x v="2"/>
    <x v="29"/>
    <x v="0"/>
    <s v="Installation, Maintenance, and Repair"/>
    <s v="Construction and Related Workers, All Other"/>
    <s v="Craft Workers"/>
    <s v="47-4099"/>
    <x v="0"/>
    <x v="0"/>
    <n v="2"/>
    <n v="200"/>
    <n v="7790"/>
  </r>
  <r>
    <x v="24"/>
    <x v="2"/>
    <x v="29"/>
    <x v="0"/>
    <s v="Installation, Maintenance, and Repair"/>
    <s v="Construction and Related Workers, All Other"/>
    <s v="Craft Workers"/>
    <s v="47-4099"/>
    <x v="4"/>
    <x v="0"/>
    <n v="1"/>
    <n v="139.5"/>
    <n v="6401.25"/>
  </r>
  <r>
    <x v="24"/>
    <x v="2"/>
    <x v="29"/>
    <x v="0"/>
    <s v="Installation, Maintenance, and Repair"/>
    <s v="Construction and Related Workers, All Other"/>
    <s v="Craft Workers"/>
    <s v="47-4099"/>
    <x v="3"/>
    <x v="0"/>
    <n v="1"/>
    <n v="131.5"/>
    <n v="5693.95"/>
  </r>
  <r>
    <x v="33"/>
    <x v="2"/>
    <x v="29"/>
    <x v="0"/>
    <s v="Construction and Extraction"/>
    <s v="Carpenters"/>
    <s v="Craft Workers"/>
    <s v="47-2031"/>
    <x v="0"/>
    <x v="0"/>
    <n v="3"/>
    <n v="51.26"/>
    <n v="2453.81"/>
  </r>
  <r>
    <x v="14"/>
    <x v="2"/>
    <x v="29"/>
    <x v="0"/>
    <s v="Construction and Extraction"/>
    <s v="Sheet Metal Workers"/>
    <s v="Craft Workers"/>
    <s v="47-2211"/>
    <x v="0"/>
    <x v="0"/>
    <n v="4"/>
    <n v="199"/>
    <n v="7984.4"/>
  </r>
  <r>
    <x v="17"/>
    <x v="2"/>
    <x v="30"/>
    <x v="0"/>
    <s v="Construction and Extraction"/>
    <s v="Glaziers"/>
    <s v="Craft Workers"/>
    <s v="47-2121"/>
    <x v="0"/>
    <x v="0"/>
    <n v="3"/>
    <n v="112.5"/>
    <n v="4438.1400000000003"/>
  </r>
  <r>
    <x v="17"/>
    <x v="2"/>
    <x v="30"/>
    <x v="0"/>
    <s v="Construction and Extraction"/>
    <s v="Glaziers"/>
    <s v="Craft Workers"/>
    <s v="47-2121"/>
    <x v="4"/>
    <x v="0"/>
    <n v="1"/>
    <n v="1"/>
    <n v="30"/>
  </r>
  <r>
    <x v="17"/>
    <x v="2"/>
    <x v="30"/>
    <x v="0"/>
    <s v="Construction and Extraction"/>
    <s v="Reinforcing Iron and Rebar Workers"/>
    <s v="Craft Workers"/>
    <s v="47-2171"/>
    <x v="0"/>
    <x v="0"/>
    <n v="1"/>
    <n v="1"/>
    <n v="41.66"/>
  </r>
  <r>
    <x v="25"/>
    <x v="2"/>
    <x v="30"/>
    <x v="0"/>
    <s v="Installation, Maintenance, and Repair"/>
    <s v="Telecommunications Equipment Installers and Repairers, Except Line Installers"/>
    <s v="Craft Workers"/>
    <s v="49-2022"/>
    <x v="0"/>
    <x v="0"/>
    <n v="2"/>
    <n v="257"/>
    <n v="18797.73"/>
  </r>
  <r>
    <x v="15"/>
    <x v="2"/>
    <x v="30"/>
    <x v="0"/>
    <s v="Installation, Maintenance, and Repair"/>
    <s v="Heating, Air Conditioning, and Refrigeration Mechanics and Installers"/>
    <s v="Craft Workers"/>
    <s v="49-9021"/>
    <x v="0"/>
    <x v="0"/>
    <n v="4"/>
    <n v="475"/>
    <n v="19003.599999999999"/>
  </r>
  <r>
    <x v="0"/>
    <x v="2"/>
    <x v="30"/>
    <x v="0"/>
    <s v="Construction and Extraction"/>
    <s v="Plumbers, Pipefitters, and Steamfitters"/>
    <s v="Craft Workers"/>
    <s v="47-2152"/>
    <x v="0"/>
    <x v="0"/>
    <n v="6"/>
    <n v="867"/>
    <n v="40685.300000000003"/>
  </r>
  <r>
    <x v="0"/>
    <x v="2"/>
    <x v="30"/>
    <x v="0"/>
    <s v="Construction and Extraction"/>
    <s v="Plumbers, Pipefitters, and Steamfitters"/>
    <s v="Craft Workers"/>
    <s v="47-2152"/>
    <x v="4"/>
    <x v="1"/>
    <n v="1"/>
    <n v="160"/>
    <n v="7721.6"/>
  </r>
  <r>
    <x v="1"/>
    <x v="2"/>
    <x v="30"/>
    <x v="0"/>
    <s v="Construction and Extraction"/>
    <s v="Carpenters"/>
    <s v="Craft Workers"/>
    <s v="47-2031"/>
    <x v="0"/>
    <x v="0"/>
    <n v="2"/>
    <n v="192"/>
    <n v="10114.08"/>
  </r>
  <r>
    <x v="26"/>
    <x v="2"/>
    <x v="30"/>
    <x v="0"/>
    <s v="Installation, Maintenance, and Repair"/>
    <s v="Installation, Maintenance, and Repair Workers, All Other"/>
    <s v="Craft Workers"/>
    <s v="49-9099"/>
    <x v="0"/>
    <x v="0"/>
    <n v="5"/>
    <n v="354.25"/>
    <n v="10659.99"/>
  </r>
  <r>
    <x v="10"/>
    <x v="2"/>
    <x v="30"/>
    <x v="0"/>
    <s v="Construction and Extraction"/>
    <s v="Carpenters"/>
    <s v="Craft Workers"/>
    <s v="47-2031"/>
    <x v="0"/>
    <x v="0"/>
    <n v="7"/>
    <n v="936"/>
    <n v="24392.560000000001"/>
  </r>
  <r>
    <x v="10"/>
    <x v="2"/>
    <x v="30"/>
    <x v="0"/>
    <s v="Construction and Extraction"/>
    <s v="Construction Laborers"/>
    <s v="Labors and Helpers"/>
    <s v="47-2061"/>
    <x v="0"/>
    <x v="0"/>
    <n v="3"/>
    <n v="44"/>
    <n v="1283.5999999999999"/>
  </r>
  <r>
    <x v="10"/>
    <x v="2"/>
    <x v="30"/>
    <x v="0"/>
    <s v="Construction and Extraction"/>
    <s v="Tapers"/>
    <s v="Craft Workers"/>
    <s v="47-2082"/>
    <x v="0"/>
    <x v="0"/>
    <n v="3"/>
    <n v="332"/>
    <n v="9129.57"/>
  </r>
  <r>
    <x v="20"/>
    <x v="2"/>
    <x v="30"/>
    <x v="0"/>
    <s v="Construction and Extraction"/>
    <s v="Insulation Workers, Mechanical"/>
    <s v="Craft Workers"/>
    <s v="47-2132"/>
    <x v="0"/>
    <x v="0"/>
    <n v="2"/>
    <n v="54"/>
    <n v="2411.62"/>
  </r>
  <r>
    <x v="20"/>
    <x v="2"/>
    <x v="30"/>
    <x v="0"/>
    <s v="Construction and Extraction"/>
    <s v="Helpers--Extraction Workers"/>
    <s v="Craft Workers"/>
    <s v="47-5081"/>
    <x v="0"/>
    <x v="0"/>
    <n v="2"/>
    <n v="16"/>
    <n v="1247.4000000000001"/>
  </r>
  <r>
    <x v="23"/>
    <x v="2"/>
    <x v="30"/>
    <x v="0"/>
    <s v="Construction and Extraction"/>
    <s v="Painters, Construction and Maintenance"/>
    <s v="Craft Workers"/>
    <s v="47-2141"/>
    <x v="0"/>
    <x v="0"/>
    <n v="2"/>
    <n v="156"/>
    <n v="4399.2"/>
  </r>
  <r>
    <x v="23"/>
    <x v="2"/>
    <x v="30"/>
    <x v="0"/>
    <s v="Construction and Extraction"/>
    <s v="Painters, Construction and Maintenance"/>
    <s v="Craft Workers"/>
    <s v="47-2141"/>
    <x v="0"/>
    <x v="1"/>
    <n v="1"/>
    <n v="140"/>
    <n v="2520"/>
  </r>
  <r>
    <x v="8"/>
    <x v="2"/>
    <x v="30"/>
    <x v="0"/>
    <s v="Construction and Extraction"/>
    <s v="Brickmasons and Blockmasons"/>
    <s v="Craft Workers"/>
    <s v="47-2021"/>
    <x v="0"/>
    <x v="0"/>
    <n v="2"/>
    <n v="16"/>
    <n v="586.88"/>
  </r>
  <r>
    <x v="5"/>
    <x v="2"/>
    <x v="30"/>
    <x v="0"/>
    <s v="Construction and Extraction"/>
    <s v="Electricians"/>
    <s v="Craft Workers"/>
    <s v="47-2111"/>
    <x v="2"/>
    <x v="0"/>
    <n v="1"/>
    <n v="35"/>
    <n v="1218.3699999999999"/>
  </r>
  <r>
    <x v="5"/>
    <x v="2"/>
    <x v="30"/>
    <x v="0"/>
    <s v="Construction and Extraction"/>
    <s v="Electricians"/>
    <s v="Craft Workers"/>
    <s v="47-2111"/>
    <x v="0"/>
    <x v="0"/>
    <n v="16"/>
    <n v="1567"/>
    <n v="71040.86"/>
  </r>
  <r>
    <x v="5"/>
    <x v="2"/>
    <x v="30"/>
    <x v="0"/>
    <s v="Construction and Extraction"/>
    <s v="Electricians"/>
    <s v="Craft Workers"/>
    <s v="47-2111"/>
    <x v="0"/>
    <x v="0"/>
    <n v="7"/>
    <n v="544"/>
    <n v="23486.23"/>
  </r>
  <r>
    <x v="5"/>
    <x v="2"/>
    <x v="30"/>
    <x v="0"/>
    <s v="Construction and Extraction"/>
    <s v="Electricians"/>
    <s v="Craft Workers"/>
    <s v="47-2111"/>
    <x v="2"/>
    <x v="0"/>
    <n v="1"/>
    <n v="9"/>
    <n v="317.11"/>
  </r>
  <r>
    <x v="29"/>
    <x v="2"/>
    <x v="30"/>
    <x v="0"/>
    <s v="Installation, Maintenance, and Repair"/>
    <s v="Installation, Maintenance, and Repair Workers, All Other"/>
    <s v="Craft Workers"/>
    <s v="49-9099"/>
    <x v="4"/>
    <x v="0"/>
    <n v="1"/>
    <n v="32"/>
    <n v="1648"/>
  </r>
  <r>
    <x v="29"/>
    <x v="2"/>
    <x v="30"/>
    <x v="0"/>
    <s v="Installation, Maintenance, and Repair"/>
    <s v="Installation, Maintenance, and Repair Workers, All Other"/>
    <s v="Craft Workers"/>
    <s v="49-9099"/>
    <x v="0"/>
    <x v="0"/>
    <n v="1"/>
    <n v="8"/>
    <n v="412"/>
  </r>
  <r>
    <x v="4"/>
    <x v="2"/>
    <x v="30"/>
    <x v="0"/>
    <s v="Construction and Extraction"/>
    <s v="Plumbers, Pipefitters, and Steamfitters"/>
    <s v="Craft Workers"/>
    <s v="47-2152"/>
    <x v="0"/>
    <x v="0"/>
    <n v="6"/>
    <n v="552"/>
    <n v="42383.43"/>
  </r>
  <r>
    <x v="30"/>
    <x v="2"/>
    <x v="30"/>
    <x v="0"/>
    <s v="Construction and Extraction"/>
    <s v="Carpenters"/>
    <s v="Craft Workers"/>
    <s v="47-2031"/>
    <x v="0"/>
    <x v="0"/>
    <n v="3"/>
    <n v="46"/>
    <n v="1613.64"/>
  </r>
  <r>
    <x v="16"/>
    <x v="2"/>
    <x v="30"/>
    <x v="0"/>
    <s v="Construction and Extraction"/>
    <s v="Insulation Workers, Mechanical"/>
    <s v="Craft Workers"/>
    <s v="47-2132"/>
    <x v="0"/>
    <x v="0"/>
    <n v="2"/>
    <n v="120"/>
    <n v="8137.32"/>
  </r>
  <r>
    <x v="24"/>
    <x v="2"/>
    <x v="30"/>
    <x v="0"/>
    <s v="Installation, Maintenance, and Repair"/>
    <s v="Construction and Related Workers, All Other"/>
    <s v="Craft Workers"/>
    <s v="47-4099"/>
    <x v="0"/>
    <x v="0"/>
    <n v="5"/>
    <n v="310"/>
    <n v="12294.34"/>
  </r>
  <r>
    <x v="33"/>
    <x v="2"/>
    <x v="30"/>
    <x v="0"/>
    <s v="Construction and Extraction"/>
    <s v="Carpenters"/>
    <s v="Craft Workers"/>
    <s v="47-2031"/>
    <x v="0"/>
    <x v="0"/>
    <n v="4"/>
    <n v="79.680000000000007"/>
    <n v="3927.45"/>
  </r>
  <r>
    <x v="14"/>
    <x v="2"/>
    <x v="30"/>
    <x v="0"/>
    <s v="Construction and Extraction"/>
    <s v="Sheet Metal Workers"/>
    <s v="Craft Workers"/>
    <s v="47-2211"/>
    <x v="0"/>
    <x v="0"/>
    <n v="1"/>
    <n v="14"/>
    <n v="669.76"/>
  </r>
  <r>
    <x v="14"/>
    <x v="2"/>
    <x v="30"/>
    <x v="0"/>
    <s v="Construction and Extraction"/>
    <s v="Roofers"/>
    <s v="Craft Workers"/>
    <s v="47-2181"/>
    <x v="0"/>
    <x v="0"/>
    <n v="1"/>
    <n v="4"/>
    <n v="137.96"/>
  </r>
  <r>
    <x v="17"/>
    <x v="2"/>
    <x v="31"/>
    <x v="0"/>
    <s v="Construction and Extraction"/>
    <s v="Glaziers"/>
    <s v="Craft Workers"/>
    <s v="47-2121"/>
    <x v="0"/>
    <x v="0"/>
    <n v="2"/>
    <n v="75"/>
    <n v="3160.69"/>
  </r>
  <r>
    <x v="25"/>
    <x v="2"/>
    <x v="31"/>
    <x v="0"/>
    <s v="Installation, Maintenance, and Repair"/>
    <s v="Telecommunications Equipment Installers and Repairers, Except Line Installers"/>
    <s v="Craft Workers"/>
    <s v="49-2022"/>
    <x v="0"/>
    <x v="0"/>
    <n v="2"/>
    <n v="247.5"/>
    <n v="18260.89"/>
  </r>
  <r>
    <x v="25"/>
    <x v="2"/>
    <x v="31"/>
    <x v="0"/>
    <s v="Installation, Maintenance, and Repair"/>
    <s v="Telecommunications Equipment Installers and Repairers, Except Line Installers"/>
    <s v="Craft Workers"/>
    <s v="49-2022"/>
    <x v="2"/>
    <x v="0"/>
    <n v="1"/>
    <n v="61.75"/>
    <n v="4687.4399999999996"/>
  </r>
  <r>
    <x v="15"/>
    <x v="2"/>
    <x v="31"/>
    <x v="0"/>
    <s v="Installation, Maintenance, and Repair"/>
    <s v="Heating, Air Conditioning, and Refrigeration Mechanics and Installers"/>
    <s v="Craft Workers"/>
    <s v="49-9021"/>
    <x v="0"/>
    <x v="0"/>
    <n v="2"/>
    <n v="280"/>
    <n v="16008.84"/>
  </r>
  <r>
    <x v="0"/>
    <x v="2"/>
    <x v="31"/>
    <x v="0"/>
    <s v="Construction and Extraction"/>
    <s v="Plumbers, Pipefitters, and Steamfitters"/>
    <s v="Craft Workers"/>
    <s v="47-2152"/>
    <x v="0"/>
    <x v="0"/>
    <n v="6"/>
    <n v="840"/>
    <n v="39851.75"/>
  </r>
  <r>
    <x v="0"/>
    <x v="2"/>
    <x v="31"/>
    <x v="0"/>
    <s v="Construction and Extraction"/>
    <s v="Plumbers, Pipefitters, and Steamfitters"/>
    <s v="Craft Workers"/>
    <s v="47-2152"/>
    <x v="4"/>
    <x v="1"/>
    <n v="1"/>
    <n v="136"/>
    <n v="6563.36"/>
  </r>
  <r>
    <x v="1"/>
    <x v="2"/>
    <x v="31"/>
    <x v="0"/>
    <s v="Construction and Extraction"/>
    <s v="Carpenters"/>
    <s v="Craft Workers"/>
    <s v="47-2031"/>
    <x v="0"/>
    <x v="0"/>
    <n v="2"/>
    <n v="192"/>
    <n v="10114.08"/>
  </r>
  <r>
    <x v="26"/>
    <x v="2"/>
    <x v="31"/>
    <x v="0"/>
    <s v="Installation, Maintenance, and Repair"/>
    <s v="Installation, Maintenance, and Repair Workers, All Other"/>
    <s v="Craft Workers"/>
    <s v="49-9099"/>
    <x v="0"/>
    <x v="0"/>
    <n v="4"/>
    <n v="138.5"/>
    <n v="4134.26"/>
  </r>
  <r>
    <x v="10"/>
    <x v="2"/>
    <x v="31"/>
    <x v="0"/>
    <s v="Construction and Extraction"/>
    <s v="Carpenters"/>
    <s v="Craft Workers"/>
    <s v="47-2031"/>
    <x v="0"/>
    <x v="0"/>
    <n v="9"/>
    <n v="977"/>
    <n v="23217.599999999999"/>
  </r>
  <r>
    <x v="10"/>
    <x v="2"/>
    <x v="31"/>
    <x v="0"/>
    <s v="Construction and Extraction"/>
    <s v="Construction Laborers"/>
    <s v="Labors and Helpers"/>
    <s v="47-2061"/>
    <x v="0"/>
    <x v="0"/>
    <n v="2"/>
    <n v="45"/>
    <n v="1350"/>
  </r>
  <r>
    <x v="10"/>
    <x v="2"/>
    <x v="31"/>
    <x v="0"/>
    <s v="Construction and Extraction"/>
    <s v="Tapers"/>
    <s v="Craft Workers"/>
    <s v="47-2082"/>
    <x v="0"/>
    <x v="0"/>
    <n v="3"/>
    <n v="92"/>
    <n v="7790.28"/>
  </r>
  <r>
    <x v="20"/>
    <x v="2"/>
    <x v="31"/>
    <x v="0"/>
    <s v="Construction and Extraction"/>
    <s v="Insulation Workers, Mechanical"/>
    <s v="Craft Workers"/>
    <s v="47-2132"/>
    <x v="0"/>
    <x v="0"/>
    <n v="2"/>
    <n v="64"/>
    <n v="2851.04"/>
  </r>
  <r>
    <x v="6"/>
    <x v="2"/>
    <x v="31"/>
    <x v="0"/>
    <s v="Construction and Extraction"/>
    <s v="Elevator Installers and Repairers"/>
    <s v="Craft Workers"/>
    <s v="47-4021"/>
    <x v="0"/>
    <x v="0"/>
    <n v="2"/>
    <n v="17"/>
    <n v="4078.06"/>
  </r>
  <r>
    <x v="23"/>
    <x v="2"/>
    <x v="31"/>
    <x v="0"/>
    <s v="Construction and Extraction"/>
    <s v="Painters, Construction and Maintenance"/>
    <s v="Craft Workers"/>
    <s v="47-2141"/>
    <x v="0"/>
    <x v="0"/>
    <n v="1"/>
    <n v="144"/>
    <n v="4060.8"/>
  </r>
  <r>
    <x v="23"/>
    <x v="2"/>
    <x v="31"/>
    <x v="0"/>
    <s v="Construction and Extraction"/>
    <s v="Painters, Construction and Maintenance"/>
    <s v="Craft Workers"/>
    <s v="47-2141"/>
    <x v="0"/>
    <x v="1"/>
    <n v="1"/>
    <n v="144"/>
    <n v="2592"/>
  </r>
  <r>
    <x v="23"/>
    <x v="2"/>
    <x v="31"/>
    <x v="0"/>
    <s v="Construction and Extraction"/>
    <s v="Painters, Construction and Maintenance"/>
    <s v="Craft Workers"/>
    <s v="47-2141"/>
    <x v="3"/>
    <x v="0"/>
    <n v="2"/>
    <n v="16"/>
    <n v="471.84"/>
  </r>
  <r>
    <x v="28"/>
    <x v="2"/>
    <x v="31"/>
    <x v="0"/>
    <s v="Construction and Extraction"/>
    <s v="Tile and Marble Setters"/>
    <s v="Craft Workers"/>
    <s v="47-2044"/>
    <x v="0"/>
    <x v="0"/>
    <n v="4"/>
    <n v="218"/>
    <n v="7336.23"/>
  </r>
  <r>
    <x v="5"/>
    <x v="2"/>
    <x v="31"/>
    <x v="0"/>
    <s v="Construction and Extraction"/>
    <s v="Electricians"/>
    <s v="Craft Workers"/>
    <s v="47-2111"/>
    <x v="2"/>
    <x v="0"/>
    <n v="2"/>
    <n v="333.5"/>
    <n v="8869.91"/>
  </r>
  <r>
    <x v="5"/>
    <x v="2"/>
    <x v="31"/>
    <x v="0"/>
    <s v="Construction and Extraction"/>
    <s v="Electricians"/>
    <s v="Craft Workers"/>
    <s v="47-2111"/>
    <x v="0"/>
    <x v="0"/>
    <n v="16"/>
    <n v="2877.5"/>
    <n v="135941.79999999999"/>
  </r>
  <r>
    <x v="5"/>
    <x v="2"/>
    <x v="31"/>
    <x v="0"/>
    <s v="Construction and Extraction"/>
    <s v="Electricians"/>
    <s v="Craft Workers"/>
    <s v="47-2111"/>
    <x v="0"/>
    <x v="0"/>
    <n v="5"/>
    <n v="387.5"/>
    <n v="15961.91"/>
  </r>
  <r>
    <x v="4"/>
    <x v="2"/>
    <x v="31"/>
    <x v="0"/>
    <s v="Construction and Extraction"/>
    <s v="Plumbers, Pipefitters, and Steamfitters"/>
    <s v="Craft Workers"/>
    <s v="47-2152"/>
    <x v="0"/>
    <x v="0"/>
    <n v="2"/>
    <n v="287"/>
    <n v="21929.67"/>
  </r>
  <r>
    <x v="30"/>
    <x v="2"/>
    <x v="31"/>
    <x v="0"/>
    <s v="Construction and Extraction"/>
    <s v="Carpenters"/>
    <s v="Craft Workers"/>
    <s v="47-2031"/>
    <x v="0"/>
    <x v="0"/>
    <n v="5"/>
    <n v="89"/>
    <n v="2681.01"/>
  </r>
  <r>
    <x v="16"/>
    <x v="2"/>
    <x v="31"/>
    <x v="0"/>
    <s v="Construction and Extraction"/>
    <s v="Insulation Workers, Mechanical"/>
    <s v="Craft Workers"/>
    <s v="47-2132"/>
    <x v="0"/>
    <x v="0"/>
    <n v="2"/>
    <n v="136"/>
    <n v="8867.2000000000007"/>
  </r>
  <r>
    <x v="24"/>
    <x v="2"/>
    <x v="31"/>
    <x v="0"/>
    <s v="Installation, Maintenance, and Repair"/>
    <s v="Construction and Related Workers, All Other"/>
    <s v="Craft Workers"/>
    <s v="47-4099"/>
    <x v="0"/>
    <x v="0"/>
    <n v="3"/>
    <n v="402"/>
    <n v="16274.69"/>
  </r>
  <r>
    <x v="24"/>
    <x v="2"/>
    <x v="31"/>
    <x v="0"/>
    <s v="Installation, Maintenance, and Repair"/>
    <s v="Construction and Related Workers, All Other"/>
    <s v="Craft Workers"/>
    <s v="47-4099"/>
    <x v="0"/>
    <x v="0"/>
    <n v="3"/>
    <n v="402"/>
    <n v="16274.69"/>
  </r>
  <r>
    <x v="34"/>
    <x v="2"/>
    <x v="31"/>
    <x v="0"/>
    <s v="Building and Grounds Cleaning and Maintenance "/>
    <s v="First-Line Supervisors of Housekeeping and Janitorial Workers"/>
    <s v="Service Workers"/>
    <s v="37-1011"/>
    <x v="0"/>
    <x v="0"/>
    <n v="1"/>
    <n v="60"/>
    <n v="3000"/>
  </r>
  <r>
    <x v="14"/>
    <x v="2"/>
    <x v="31"/>
    <x v="0"/>
    <s v="Construction and Extraction"/>
    <s v="Sheet Metal Workers"/>
    <s v="Craft Workers"/>
    <s v="47-2211"/>
    <x v="0"/>
    <x v="0"/>
    <n v="2"/>
    <n v="14"/>
    <n v="646.24"/>
  </r>
  <r>
    <x v="14"/>
    <x v="2"/>
    <x v="31"/>
    <x v="0"/>
    <s v="Construction and Extraction"/>
    <s v="Roofers"/>
    <s v="Craft Workers"/>
    <s v="47-2181"/>
    <x v="0"/>
    <x v="0"/>
    <n v="3"/>
    <n v="30"/>
    <n v="1149.72"/>
  </r>
  <r>
    <x v="17"/>
    <x v="2"/>
    <x v="32"/>
    <x v="1"/>
    <s v="Construction and Extraction"/>
    <s v="Glaziers"/>
    <s v="Craft Workers"/>
    <s v="47-2121"/>
    <x v="0"/>
    <x v="0"/>
    <n v="6"/>
    <n v="190"/>
    <n v="7751.98"/>
  </r>
  <r>
    <x v="31"/>
    <x v="2"/>
    <x v="32"/>
    <x v="1"/>
    <s v="Construction and Extraction"/>
    <s v="Carpenters"/>
    <s v="Craft Workers"/>
    <s v="47-2031"/>
    <x v="0"/>
    <x v="0"/>
    <n v="3"/>
    <n v="24"/>
    <n v="808.72"/>
  </r>
  <r>
    <x v="25"/>
    <x v="2"/>
    <x v="32"/>
    <x v="1"/>
    <s v="Installation, Maintenance, and Repair"/>
    <s v="Telecommunications Equipment Installers and Repairers, Except Line Installers"/>
    <s v="Craft Workers"/>
    <s v="49-2022"/>
    <x v="0"/>
    <x v="0"/>
    <n v="2"/>
    <n v="220"/>
    <n v="10746.52"/>
  </r>
  <r>
    <x v="25"/>
    <x v="2"/>
    <x v="32"/>
    <x v="1"/>
    <s v="Installation, Maintenance, and Repair"/>
    <s v="Telecommunications Equipment Installers and Repairers, Except Line Installers"/>
    <s v="Craft Workers"/>
    <s v="49-2022"/>
    <x v="2"/>
    <x v="0"/>
    <n v="1"/>
    <n v="72.25"/>
    <n v="5484.5"/>
  </r>
  <r>
    <x v="15"/>
    <x v="2"/>
    <x v="32"/>
    <x v="1"/>
    <s v="Installation, Maintenance, and Repair"/>
    <s v="Heating, Air Conditioning, and Refrigeration Mechanics and Installers"/>
    <s v="Craft Workers"/>
    <s v="49-9021"/>
    <x v="0"/>
    <x v="0"/>
    <n v="2"/>
    <n v="280"/>
    <n v="12297.6"/>
  </r>
  <r>
    <x v="0"/>
    <x v="2"/>
    <x v="32"/>
    <x v="1"/>
    <s v="Construction and Extraction"/>
    <s v="Plumbers, Pipefitters, and Steamfitters"/>
    <s v="Craft Workers"/>
    <s v="47-2152"/>
    <x v="0"/>
    <x v="0"/>
    <n v="5"/>
    <n v="1024"/>
    <n v="48540.21"/>
  </r>
  <r>
    <x v="0"/>
    <x v="2"/>
    <x v="32"/>
    <x v="1"/>
    <s v="Construction and Extraction"/>
    <s v="Plumbers, Pipefitters, and Steamfitters"/>
    <s v="Craft Workers"/>
    <s v="47-2152"/>
    <x v="4"/>
    <x v="1"/>
    <n v="1"/>
    <n v="184"/>
    <n v="8879.84"/>
  </r>
  <r>
    <x v="0"/>
    <x v="2"/>
    <x v="32"/>
    <x v="1"/>
    <s v="Construction and Extraction"/>
    <s v="Insulation Workers, Mechanical"/>
    <s v="Craft Workers"/>
    <s v="47-2132"/>
    <x v="0"/>
    <x v="0"/>
    <n v="3"/>
    <n v="72"/>
    <n v="3141.68"/>
  </r>
  <r>
    <x v="9"/>
    <x v="2"/>
    <x v="32"/>
    <x v="1"/>
    <s v="Construction and Extraction"/>
    <s v="Roofers"/>
    <s v="Craft Workers"/>
    <s v="47-2181"/>
    <x v="0"/>
    <x v="0"/>
    <n v="1"/>
    <n v="6"/>
    <n v="344.94"/>
  </r>
  <r>
    <x v="1"/>
    <x v="2"/>
    <x v="32"/>
    <x v="1"/>
    <s v="Construction and Extraction"/>
    <s v="Carpenters"/>
    <s v="Craft Workers"/>
    <s v="47-2031"/>
    <x v="0"/>
    <x v="0"/>
    <n v="1"/>
    <n v="132"/>
    <n v="4169.88"/>
  </r>
  <r>
    <x v="26"/>
    <x v="2"/>
    <x v="32"/>
    <x v="1"/>
    <s v="Installation, Maintenance, and Repair"/>
    <s v="Installation, Maintenance, and Repair Workers, All Other"/>
    <s v="Craft Workers"/>
    <s v="49-9099"/>
    <x v="0"/>
    <x v="0"/>
    <n v="3"/>
    <n v="24"/>
    <n v="808.72"/>
  </r>
  <r>
    <x v="18"/>
    <x v="2"/>
    <x v="32"/>
    <x v="1"/>
    <s v="Construction and Extraction"/>
    <s v="Cement Masons and Concrete Finishers"/>
    <s v="Craft Workers"/>
    <s v="47-2051"/>
    <x v="0"/>
    <x v="0"/>
    <n v="3"/>
    <n v="57"/>
    <n v="1717.7"/>
  </r>
  <r>
    <x v="10"/>
    <x v="2"/>
    <x v="32"/>
    <x v="1"/>
    <s v="Construction and Extraction"/>
    <s v="Carpenters"/>
    <s v="Craft Workers"/>
    <s v="47-2031"/>
    <x v="0"/>
    <x v="0"/>
    <n v="7"/>
    <n v="662"/>
    <n v="19970.900000000001"/>
  </r>
  <r>
    <x v="10"/>
    <x v="2"/>
    <x v="32"/>
    <x v="1"/>
    <s v="Construction and Extraction"/>
    <s v="Construction Laborers"/>
    <s v="Labors and Helpers"/>
    <s v="47-2061"/>
    <x v="0"/>
    <x v="0"/>
    <n v="1"/>
    <n v="56"/>
    <n v="1680"/>
  </r>
  <r>
    <x v="10"/>
    <x v="2"/>
    <x v="32"/>
    <x v="1"/>
    <s v="Construction and Extraction"/>
    <s v="Tapers"/>
    <s v="Craft Workers"/>
    <s v="47-2082"/>
    <x v="0"/>
    <x v="0"/>
    <n v="2"/>
    <n v="177.5"/>
    <n v="5530.78"/>
  </r>
  <r>
    <x v="35"/>
    <x v="2"/>
    <x v="32"/>
    <x v="1"/>
    <s v="Construction and Extraction"/>
    <s v="Carpenters"/>
    <s v="Craft Workers"/>
    <s v="47-2031"/>
    <x v="0"/>
    <x v="0"/>
    <n v="3"/>
    <n v="24"/>
    <n v="808.72"/>
  </r>
  <r>
    <x v="23"/>
    <x v="2"/>
    <x v="32"/>
    <x v="1"/>
    <s v="Construction and Extraction"/>
    <s v="Painters, Construction and Maintenance"/>
    <s v="Craft Workers"/>
    <s v="47-2141"/>
    <x v="0"/>
    <x v="0"/>
    <n v="3"/>
    <n v="233"/>
    <n v="6570.6"/>
  </r>
  <r>
    <x v="23"/>
    <x v="2"/>
    <x v="32"/>
    <x v="1"/>
    <s v="Construction and Extraction"/>
    <s v="Painters, Construction and Maintenance"/>
    <s v="Craft Workers"/>
    <s v="47-2141"/>
    <x v="0"/>
    <x v="1"/>
    <n v="1"/>
    <n v="35"/>
    <n v="630"/>
  </r>
  <r>
    <x v="23"/>
    <x v="2"/>
    <x v="32"/>
    <x v="1"/>
    <s v="Construction and Extraction"/>
    <s v="Painters, Construction and Maintenance"/>
    <s v="Craft Workers"/>
    <s v="47-2141"/>
    <x v="3"/>
    <x v="0"/>
    <n v="2"/>
    <n v="278"/>
    <n v="8098.22"/>
  </r>
  <r>
    <x v="28"/>
    <x v="2"/>
    <x v="32"/>
    <x v="1"/>
    <s v="Construction and Extraction"/>
    <s v="Tile and Marble Setters"/>
    <s v="Craft Workers"/>
    <s v="47-2044"/>
    <x v="0"/>
    <x v="0"/>
    <n v="3"/>
    <n v="360"/>
    <n v="12488.4"/>
  </r>
  <r>
    <x v="5"/>
    <x v="2"/>
    <x v="32"/>
    <x v="1"/>
    <s v="Construction and Extraction"/>
    <s v="Electricians"/>
    <s v="Craft Workers"/>
    <s v="47-2111"/>
    <x v="2"/>
    <x v="0"/>
    <n v="2"/>
    <n v="286"/>
    <n v="12528.38"/>
  </r>
  <r>
    <x v="5"/>
    <x v="2"/>
    <x v="32"/>
    <x v="1"/>
    <s v="Construction and Extraction"/>
    <s v="Electricians"/>
    <s v="Craft Workers"/>
    <s v="47-2111"/>
    <x v="0"/>
    <x v="0"/>
    <n v="25"/>
    <n v="2274"/>
    <n v="99347.96"/>
  </r>
  <r>
    <x v="4"/>
    <x v="2"/>
    <x v="32"/>
    <x v="1"/>
    <s v="Construction and Extraction"/>
    <s v="Plumbers, Pipefitters, and Steamfitters"/>
    <s v="Craft Workers"/>
    <s v="47-2152"/>
    <x v="0"/>
    <x v="0"/>
    <n v="2"/>
    <n v="232"/>
    <n v="17727.12"/>
  </r>
  <r>
    <x v="36"/>
    <x v="2"/>
    <x v="32"/>
    <x v="1"/>
    <s v="Construction and Extraction"/>
    <s v="Helpers, Construction Trades, All Other"/>
    <s v="Labors and Helpers"/>
    <s v="47-3019"/>
    <x v="0"/>
    <x v="1"/>
    <n v="3"/>
    <n v="40"/>
    <n v="2088"/>
  </r>
  <r>
    <x v="30"/>
    <x v="2"/>
    <x v="32"/>
    <x v="1"/>
    <s v="Construction and Extraction"/>
    <s v="Carpenters"/>
    <s v="Craft Workers"/>
    <s v="47-2031"/>
    <x v="0"/>
    <x v="0"/>
    <n v="9"/>
    <n v="216"/>
    <n v="6982.3"/>
  </r>
  <r>
    <x v="21"/>
    <x v="2"/>
    <x v="32"/>
    <x v="1"/>
    <s v="Construction and Extraction"/>
    <s v="Structural Iron and Steel Workers"/>
    <s v="Craft Workers"/>
    <s v="47-2221"/>
    <x v="0"/>
    <x v="0"/>
    <n v="4"/>
    <n v="21.77"/>
    <n v="808.86"/>
  </r>
  <r>
    <x v="16"/>
    <x v="2"/>
    <x v="32"/>
    <x v="1"/>
    <s v="Construction and Extraction"/>
    <s v="Insulation Workers, Mechanical"/>
    <s v="Craft Workers"/>
    <s v="47-2132"/>
    <x v="0"/>
    <x v="0"/>
    <n v="4"/>
    <n v="306"/>
    <n v="20127.29"/>
  </r>
  <r>
    <x v="24"/>
    <x v="2"/>
    <x v="32"/>
    <x v="1"/>
    <s v="Installation, Maintenance, and Repair"/>
    <s v="Construction and Related Workers, All Other"/>
    <s v="Craft Workers"/>
    <s v="47-4099"/>
    <x v="0"/>
    <x v="0"/>
    <n v="5"/>
    <n v="397"/>
    <n v="16167.95"/>
  </r>
  <r>
    <x v="24"/>
    <x v="2"/>
    <x v="32"/>
    <x v="1"/>
    <s v="Installation, Maintenance, and Repair"/>
    <s v="Construction and Related Workers, All Other"/>
    <s v="Craft Workers"/>
    <s v="47-4099"/>
    <x v="4"/>
    <x v="0"/>
    <n v="1"/>
    <n v="40"/>
    <n v="1932.4"/>
  </r>
  <r>
    <x v="17"/>
    <x v="2"/>
    <x v="33"/>
    <x v="1"/>
    <s v="Construction and Extraction"/>
    <s v="Glaziers"/>
    <s v="Craft Workers"/>
    <s v="47-2121"/>
    <x v="0"/>
    <x v="0"/>
    <n v="6"/>
    <n v="563"/>
    <n v="20898.68"/>
  </r>
  <r>
    <x v="31"/>
    <x v="2"/>
    <x v="33"/>
    <x v="1"/>
    <s v="Construction and Extraction"/>
    <s v="Carpenters"/>
    <s v="Craft Workers"/>
    <s v="47-2031"/>
    <x v="0"/>
    <x v="0"/>
    <n v="5"/>
    <n v="64"/>
    <n v="2148.16"/>
  </r>
  <r>
    <x v="25"/>
    <x v="2"/>
    <x v="33"/>
    <x v="1"/>
    <s v="Installation, Maintenance, and Repair"/>
    <s v="Telecommunications Equipment Installers and Repairers, Except Line Installers"/>
    <s v="Craft Workers"/>
    <s v="49-2022"/>
    <x v="0"/>
    <x v="0"/>
    <n v="2"/>
    <n v="111.5"/>
    <n v="8254.58"/>
  </r>
  <r>
    <x v="15"/>
    <x v="2"/>
    <x v="33"/>
    <x v="1"/>
    <s v="Installation, Maintenance, and Repair"/>
    <s v="Heating, Air Conditioning, and Refrigeration Mechanics and Installers"/>
    <s v="Craft Workers"/>
    <s v="49-9021"/>
    <x v="0"/>
    <x v="0"/>
    <n v="2"/>
    <n v="168"/>
    <n v="7378.56"/>
  </r>
  <r>
    <x v="0"/>
    <x v="2"/>
    <x v="33"/>
    <x v="1"/>
    <s v="Construction and Extraction"/>
    <s v="Plumbers, Pipefitters, and Steamfitters"/>
    <s v="Craft Workers"/>
    <s v="47-2152"/>
    <x v="0"/>
    <x v="0"/>
    <n v="4"/>
    <n v="610"/>
    <n v="30104.47"/>
  </r>
  <r>
    <x v="0"/>
    <x v="2"/>
    <x v="33"/>
    <x v="1"/>
    <s v="Construction and Extraction"/>
    <s v="Plumbers, Pipefitters, and Steamfitters"/>
    <s v="Craft Workers"/>
    <s v="47-2152"/>
    <x v="4"/>
    <x v="1"/>
    <n v="1"/>
    <n v="146"/>
    <n v="7094.22"/>
  </r>
  <r>
    <x v="0"/>
    <x v="2"/>
    <x v="33"/>
    <x v="1"/>
    <s v="Construction and Extraction"/>
    <s v="Insulation Workers, Mechanical"/>
    <s v="Craft Workers"/>
    <s v="47-2132"/>
    <x v="0"/>
    <x v="0"/>
    <n v="3"/>
    <n v="104"/>
    <n v="4498"/>
  </r>
  <r>
    <x v="37"/>
    <x v="2"/>
    <x v="33"/>
    <x v="1"/>
    <s v="Construction and Extraction"/>
    <s v="Carpenters"/>
    <s v="Craft Workers"/>
    <s v="47-2031"/>
    <x v="0"/>
    <x v="0"/>
    <n v="1"/>
    <n v="6.5"/>
    <n v="357.37"/>
  </r>
  <r>
    <x v="1"/>
    <x v="2"/>
    <x v="33"/>
    <x v="1"/>
    <s v="Construction and Extraction"/>
    <s v="Carpenters"/>
    <s v="Craft Workers"/>
    <s v="47-2031"/>
    <x v="0"/>
    <x v="0"/>
    <n v="5"/>
    <n v="146"/>
    <n v="7792.84"/>
  </r>
  <r>
    <x v="1"/>
    <x v="2"/>
    <x v="33"/>
    <x v="1"/>
    <s v="Construction and Extraction"/>
    <s v="Operating Engineers and Other Construction Equipment Operators"/>
    <s v="Craft Workers"/>
    <s v="47-2073"/>
    <x v="0"/>
    <x v="0"/>
    <n v="4"/>
    <n v="36"/>
    <n v="2877.48"/>
  </r>
  <r>
    <x v="1"/>
    <x v="2"/>
    <x v="33"/>
    <x v="1"/>
    <s v="Construction and Extraction"/>
    <s v="Construction Laborers"/>
    <s v="Labors and Helpers"/>
    <s v="47-2061"/>
    <x v="0"/>
    <x v="0"/>
    <n v="4"/>
    <n v="52"/>
    <n v="2610.4"/>
  </r>
  <r>
    <x v="18"/>
    <x v="2"/>
    <x v="33"/>
    <x v="1"/>
    <s v="Construction and Extraction"/>
    <s v="Cement Masons and Concrete Finishers"/>
    <s v="Craft Workers"/>
    <s v="47-2051"/>
    <x v="0"/>
    <x v="0"/>
    <n v="1"/>
    <n v="24"/>
    <n v="808.32"/>
  </r>
  <r>
    <x v="18"/>
    <x v="2"/>
    <x v="33"/>
    <x v="1"/>
    <s v="Construction and Extraction"/>
    <s v="Cement Masons and Concrete Finishers"/>
    <s v="Craft Workers"/>
    <s v="47-2051"/>
    <x v="2"/>
    <x v="0"/>
    <n v="1"/>
    <n v="34"/>
    <n v="932.96"/>
  </r>
  <r>
    <x v="10"/>
    <x v="2"/>
    <x v="33"/>
    <x v="1"/>
    <s v="Construction and Extraction"/>
    <s v="Carpenters"/>
    <s v="Craft Workers"/>
    <s v="47-2031"/>
    <x v="0"/>
    <x v="0"/>
    <n v="7"/>
    <n v="738"/>
    <n v="22014.66"/>
  </r>
  <r>
    <x v="10"/>
    <x v="2"/>
    <x v="33"/>
    <x v="1"/>
    <s v="Construction and Extraction"/>
    <s v="Construction Laborers"/>
    <s v="Labors and Helpers"/>
    <s v="47-2061"/>
    <x v="0"/>
    <x v="0"/>
    <n v="2"/>
    <n v="93"/>
    <n v="2790"/>
  </r>
  <r>
    <x v="10"/>
    <x v="2"/>
    <x v="33"/>
    <x v="1"/>
    <s v="Construction and Extraction"/>
    <s v="Tapers"/>
    <s v="Craft Workers"/>
    <s v="47-2082"/>
    <x v="0"/>
    <x v="0"/>
    <n v="2"/>
    <n v="166"/>
    <n v="5183.26"/>
  </r>
  <r>
    <x v="20"/>
    <x v="2"/>
    <x v="33"/>
    <x v="1"/>
    <s v="Construction and Extraction"/>
    <s v="Insulation Workers, Mechanical"/>
    <s v="Craft Workers"/>
    <s v="47-2132"/>
    <x v="0"/>
    <x v="0"/>
    <n v="1"/>
    <n v="8"/>
    <n v="265.92"/>
  </r>
  <r>
    <x v="6"/>
    <x v="2"/>
    <x v="33"/>
    <x v="1"/>
    <s v="Construction and Extraction"/>
    <s v="Elevator Installers and Repairers"/>
    <s v="Craft Workers"/>
    <s v="47-4021"/>
    <x v="0"/>
    <x v="0"/>
    <n v="2"/>
    <n v="56"/>
    <n v="3101.28"/>
  </r>
  <r>
    <x v="23"/>
    <x v="2"/>
    <x v="33"/>
    <x v="1"/>
    <s v="Construction and Extraction"/>
    <s v="Painters, Construction and Maintenance"/>
    <s v="Craft Workers"/>
    <s v="47-2141"/>
    <x v="0"/>
    <x v="0"/>
    <n v="5"/>
    <n v="187"/>
    <n v="5353.5"/>
  </r>
  <r>
    <x v="23"/>
    <x v="2"/>
    <x v="33"/>
    <x v="1"/>
    <s v="Construction and Extraction"/>
    <s v="Painters, Construction and Maintenance"/>
    <s v="Craft Workers"/>
    <s v="47-2141"/>
    <x v="0"/>
    <x v="1"/>
    <n v="3"/>
    <n v="160"/>
    <n v="4118.3999999999996"/>
  </r>
  <r>
    <x v="23"/>
    <x v="2"/>
    <x v="33"/>
    <x v="1"/>
    <s v="Construction and Extraction"/>
    <s v="Painters, Construction and Maintenance"/>
    <s v="Craft Workers"/>
    <s v="47-2141"/>
    <x v="3"/>
    <x v="0"/>
    <n v="2"/>
    <n v="239.5"/>
    <n v="7054.13"/>
  </r>
  <r>
    <x v="28"/>
    <x v="2"/>
    <x v="33"/>
    <x v="1"/>
    <s v="Construction and Extraction"/>
    <s v="Tile and Marble Setters"/>
    <s v="Craft Workers"/>
    <s v="47-2044"/>
    <x v="0"/>
    <x v="0"/>
    <n v="3"/>
    <n v="160"/>
    <n v="5586.12"/>
  </r>
  <r>
    <x v="5"/>
    <x v="2"/>
    <x v="33"/>
    <x v="1"/>
    <s v="Construction and Extraction"/>
    <s v="Electricians"/>
    <s v="Craft Workers"/>
    <s v="47-2111"/>
    <x v="2"/>
    <x v="0"/>
    <n v="2"/>
    <n v="186"/>
    <n v="9092.5400000000009"/>
  </r>
  <r>
    <x v="5"/>
    <x v="2"/>
    <x v="33"/>
    <x v="1"/>
    <s v="Construction and Extraction"/>
    <s v="Electricians"/>
    <s v="Craft Workers"/>
    <s v="47-2111"/>
    <x v="0"/>
    <x v="0"/>
    <n v="22"/>
    <n v="2297.5"/>
    <n v="101662.67"/>
  </r>
  <r>
    <x v="4"/>
    <x v="2"/>
    <x v="33"/>
    <x v="1"/>
    <s v="Construction and Extraction"/>
    <s v="Plumbers, Pipefitters, and Steamfitters"/>
    <s v="Craft Workers"/>
    <s v="47-2152"/>
    <x v="0"/>
    <x v="0"/>
    <n v="3"/>
    <n v="388"/>
    <n v="29647.08"/>
  </r>
  <r>
    <x v="16"/>
    <x v="2"/>
    <x v="33"/>
    <x v="1"/>
    <s v="Construction and Extraction"/>
    <s v="Insulation Workers, Mechanical"/>
    <s v="Craft Workers"/>
    <s v="47-2132"/>
    <x v="0"/>
    <x v="0"/>
    <n v="3"/>
    <n v="90.5"/>
    <n v="5992.58"/>
  </r>
  <r>
    <x v="24"/>
    <x v="2"/>
    <x v="33"/>
    <x v="1"/>
    <s v="Installation, Maintenance, and Repair"/>
    <s v="Construction and Related Workers, All Other"/>
    <s v="Craft Workers"/>
    <s v="47-4099"/>
    <x v="0"/>
    <x v="0"/>
    <n v="3"/>
    <n v="304"/>
    <n v="12390.48"/>
  </r>
  <r>
    <x v="24"/>
    <x v="2"/>
    <x v="33"/>
    <x v="1"/>
    <s v="Installation, Maintenance, and Repair"/>
    <s v="Construction and Related Workers, All Other"/>
    <s v="Craft Workers"/>
    <s v="47-4099"/>
    <x v="4"/>
    <x v="0"/>
    <n v="1"/>
    <n v="40"/>
    <n v="1932.4"/>
  </r>
  <r>
    <x v="15"/>
    <x v="2"/>
    <x v="34"/>
    <x v="1"/>
    <s v="Installation, Maintenance, and Repair"/>
    <s v="Heating, Air Conditioning, and Refrigeration Mechanics and Installers"/>
    <s v="Craft Workers"/>
    <s v="49-9021"/>
    <x v="0"/>
    <x v="0"/>
    <n v="2"/>
    <n v="269"/>
    <n v="11827.4"/>
  </r>
  <r>
    <x v="9"/>
    <x v="2"/>
    <x v="34"/>
    <x v="1"/>
    <s v="Construction and Extraction"/>
    <s v="Roofers"/>
    <s v="Craft Workers"/>
    <s v="47-2181"/>
    <x v="0"/>
    <x v="0"/>
    <n v="3"/>
    <n v="26"/>
    <n v="1468.94"/>
  </r>
  <r>
    <x v="1"/>
    <x v="2"/>
    <x v="34"/>
    <x v="1"/>
    <s v="Construction and Extraction"/>
    <s v="Carpenters"/>
    <s v="Craft Workers"/>
    <s v="47-2031"/>
    <x v="0"/>
    <x v="0"/>
    <n v="8"/>
    <n v="259"/>
    <n v="14110.76"/>
  </r>
  <r>
    <x v="1"/>
    <x v="2"/>
    <x v="34"/>
    <x v="1"/>
    <s v="Construction and Extraction"/>
    <s v="Operating Engineers and Other Construction Equipment Operators"/>
    <s v="Craft Workers"/>
    <s v="47-2073"/>
    <x v="0"/>
    <x v="0"/>
    <n v="1"/>
    <n v="8"/>
    <n v="641.84"/>
  </r>
  <r>
    <x v="1"/>
    <x v="2"/>
    <x v="34"/>
    <x v="1"/>
    <s v="Construction and Extraction"/>
    <s v="Construction Laborers"/>
    <s v="Labors and Helpers"/>
    <s v="47-2061"/>
    <x v="0"/>
    <x v="0"/>
    <n v="1"/>
    <n v="8"/>
    <n v="401.6"/>
  </r>
  <r>
    <x v="20"/>
    <x v="2"/>
    <x v="34"/>
    <x v="1"/>
    <s v="Construction and Extraction"/>
    <s v="Insulation Workers, Mechanical"/>
    <s v="Craft Workers"/>
    <s v="47-2132"/>
    <x v="0"/>
    <x v="0"/>
    <n v="2"/>
    <n v="10"/>
    <n v="331.15"/>
  </r>
  <r>
    <x v="6"/>
    <x v="2"/>
    <x v="34"/>
    <x v="1"/>
    <s v="Construction and Extraction"/>
    <s v="Elevator Installers and Repairers"/>
    <s v="Craft Workers"/>
    <s v="47-4021"/>
    <x v="0"/>
    <x v="0"/>
    <n v="4"/>
    <n v="37"/>
    <n v="1681.06"/>
  </r>
  <r>
    <x v="5"/>
    <x v="2"/>
    <x v="34"/>
    <x v="1"/>
    <s v="Construction and Extraction"/>
    <s v="Electricians"/>
    <s v="Craft Workers"/>
    <s v="47-2111"/>
    <x v="0"/>
    <x v="0"/>
    <n v="2"/>
    <n v="174"/>
    <n v="7786.79"/>
  </r>
  <r>
    <x v="4"/>
    <x v="2"/>
    <x v="34"/>
    <x v="1"/>
    <s v="Construction and Extraction"/>
    <s v="Plumbers, Pipefitters, and Steamfitters"/>
    <s v="Craft Workers"/>
    <s v="47-2152"/>
    <x v="0"/>
    <x v="0"/>
    <n v="8"/>
    <n v="328"/>
    <n v="26877.040000000001"/>
  </r>
  <r>
    <x v="16"/>
    <x v="2"/>
    <x v="34"/>
    <x v="1"/>
    <s v="Construction and Extraction"/>
    <s v="Insulation Workers, Mechanical"/>
    <s v="Craft Workers"/>
    <s v="47-2132"/>
    <x v="0"/>
    <x v="0"/>
    <n v="2"/>
    <n v="88"/>
    <n v="5966.13"/>
  </r>
  <r>
    <x v="24"/>
    <x v="2"/>
    <x v="34"/>
    <x v="1"/>
    <s v="Installation, Maintenance, and Repair"/>
    <s v="Construction and Related Workers, All Other"/>
    <s v="Craft Workers"/>
    <s v="47-4099"/>
    <x v="0"/>
    <x v="0"/>
    <n v="2"/>
    <n v="152"/>
    <n v="7081.2"/>
  </r>
  <r>
    <x v="24"/>
    <x v="2"/>
    <x v="34"/>
    <x v="1"/>
    <s v="Installation, Maintenance, and Repair"/>
    <s v="Construction and Related Workers, All Other"/>
    <s v="Craft Workers"/>
    <s v="47-4099"/>
    <x v="4"/>
    <x v="0"/>
    <n v="1"/>
    <n v="40"/>
    <n v="1932.4"/>
  </r>
  <r>
    <x v="17"/>
    <x v="2"/>
    <x v="34"/>
    <x v="1"/>
    <s v="Construction and Extraction"/>
    <s v="Glaziers"/>
    <s v="Craft Workers"/>
    <s v="47-2121"/>
    <x v="0"/>
    <x v="0"/>
    <n v="6"/>
    <n v="435"/>
    <n v="16840.41"/>
  </r>
  <r>
    <x v="17"/>
    <x v="2"/>
    <x v="34"/>
    <x v="1"/>
    <s v="Construction and Extraction"/>
    <s v="Glaziers"/>
    <s v="Craft Workers"/>
    <s v="47-2121"/>
    <x v="1"/>
    <x v="0"/>
    <n v="1"/>
    <n v="24"/>
    <n v="801.28"/>
  </r>
  <r>
    <x v="25"/>
    <x v="2"/>
    <x v="34"/>
    <x v="1"/>
    <s v="Installation, Maintenance, and Repair"/>
    <s v="Telecommunications Equipment Installers and Repairers, Except Line Installers"/>
    <s v="Craft Workers"/>
    <s v="49-2022"/>
    <x v="0"/>
    <x v="0"/>
    <n v="3"/>
    <n v="221.25"/>
    <n v="16308.84"/>
  </r>
  <r>
    <x v="0"/>
    <x v="2"/>
    <x v="34"/>
    <x v="1"/>
    <s v="Construction and Extraction"/>
    <s v="Plumbers, Pipefitters, and Steamfitters"/>
    <s v="Craft Workers"/>
    <s v="47-2152"/>
    <x v="0"/>
    <x v="0"/>
    <n v="4"/>
    <n v="732"/>
    <n v="36056"/>
  </r>
  <r>
    <x v="0"/>
    <x v="2"/>
    <x v="34"/>
    <x v="1"/>
    <s v="Construction and Extraction"/>
    <s v="Plumbers, Pipefitters, and Steamfitters"/>
    <s v="Craft Workers"/>
    <s v="47-2152"/>
    <x v="4"/>
    <x v="1"/>
    <n v="1"/>
    <n v="168"/>
    <n v="8107.68"/>
  </r>
  <r>
    <x v="18"/>
    <x v="2"/>
    <x v="34"/>
    <x v="1"/>
    <s v="Construction and Extraction"/>
    <s v="Cement Masons and Concrete Finishers"/>
    <s v="Craft Workers"/>
    <s v="47-2051"/>
    <x v="0"/>
    <x v="0"/>
    <n v="1"/>
    <n v="23"/>
    <n v="774.84"/>
  </r>
  <r>
    <x v="18"/>
    <x v="2"/>
    <x v="34"/>
    <x v="1"/>
    <s v="Construction and Extraction"/>
    <s v="Cement Masons and Concrete Finishers"/>
    <s v="Craft Workers"/>
    <s v="47-2051"/>
    <x v="2"/>
    <x v="0"/>
    <n v="1"/>
    <n v="7"/>
    <n v="141.47"/>
  </r>
  <r>
    <x v="10"/>
    <x v="2"/>
    <x v="34"/>
    <x v="1"/>
    <s v="Construction and Extraction"/>
    <s v="Carpenters"/>
    <s v="Craft Workers"/>
    <s v="47-2031"/>
    <x v="0"/>
    <x v="0"/>
    <n v="4"/>
    <n v="506"/>
    <n v="14506.4"/>
  </r>
  <r>
    <x v="10"/>
    <x v="2"/>
    <x v="34"/>
    <x v="1"/>
    <s v="Construction and Extraction"/>
    <s v="Construction Laborers"/>
    <s v="Labors and Helpers"/>
    <s v="47-2061"/>
    <x v="0"/>
    <x v="0"/>
    <n v="1"/>
    <n v="96"/>
    <n v="2856.25"/>
  </r>
  <r>
    <x v="10"/>
    <x v="2"/>
    <x v="34"/>
    <x v="1"/>
    <s v="Construction and Extraction"/>
    <s v="Tapers"/>
    <s v="Craft Workers"/>
    <s v="47-2082"/>
    <x v="0"/>
    <x v="0"/>
    <n v="2"/>
    <n v="105"/>
    <n v="3102"/>
  </r>
  <r>
    <x v="23"/>
    <x v="2"/>
    <x v="34"/>
    <x v="1"/>
    <s v="Construction and Extraction"/>
    <s v="Painters, Construction and Maintenance"/>
    <s v="Craft Workers"/>
    <s v="47-2141"/>
    <x v="0"/>
    <x v="0"/>
    <n v="2"/>
    <n v="209"/>
    <n v="6071.1"/>
  </r>
  <r>
    <x v="23"/>
    <x v="2"/>
    <x v="34"/>
    <x v="1"/>
    <s v="Construction and Extraction"/>
    <s v="Painters, Construction and Maintenance"/>
    <s v="Craft Workers"/>
    <s v="47-2141"/>
    <x v="0"/>
    <x v="1"/>
    <n v="2"/>
    <n v="95"/>
    <n v="1863.48"/>
  </r>
  <r>
    <x v="23"/>
    <x v="2"/>
    <x v="34"/>
    <x v="1"/>
    <s v="Construction and Extraction"/>
    <s v="Painters, Construction and Maintenance"/>
    <s v="Craft Workers"/>
    <s v="47-2141"/>
    <x v="3"/>
    <x v="0"/>
    <n v="2"/>
    <n v="210"/>
    <n v="6241.76"/>
  </r>
  <r>
    <x v="5"/>
    <x v="2"/>
    <x v="34"/>
    <x v="1"/>
    <s v="Construction and Extraction"/>
    <s v="Electricians"/>
    <s v="Craft Workers"/>
    <s v="47-2111"/>
    <x v="2"/>
    <x v="0"/>
    <n v="1"/>
    <n v="232"/>
    <n v="11826"/>
  </r>
  <r>
    <x v="5"/>
    <x v="2"/>
    <x v="34"/>
    <x v="1"/>
    <s v="Construction and Extraction"/>
    <s v="Electricians"/>
    <s v="Craft Workers"/>
    <s v="47-2111"/>
    <x v="0"/>
    <x v="0"/>
    <n v="27"/>
    <n v="2979"/>
    <n v="141329.07"/>
  </r>
  <r>
    <x v="21"/>
    <x v="2"/>
    <x v="34"/>
    <x v="1"/>
    <s v="Construction and Extraction"/>
    <s v="Structural Iron and Steel Workers"/>
    <s v="Craft Workers"/>
    <s v="47-2221"/>
    <x v="0"/>
    <x v="0"/>
    <n v="4"/>
    <n v="26.45"/>
    <n v="982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3308C-AFC0-4A66-A40B-30A2CA88ACF2}" name="PivotTable4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12:M164" firstHeaderRow="1" firstDataRow="3" firstDataCol="1"/>
  <pivotFields count="16">
    <pivotField subtotalTop="0" showAll="0" insertBlankRow="1"/>
    <pivotField subtotalTop="0" showAll="0" insertBlankRow="1" defaultSubtotal="0">
      <items count="3">
        <item x="0"/>
        <item x="1"/>
        <item x="2"/>
      </items>
    </pivotField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axis="axisRow" subtotalTop="0" showAll="0" insertBlankRow="1" sortType="descending">
      <items count="4">
        <item m="1" x="2"/>
        <item x="0"/>
        <item sd="0" x="1"/>
        <item t="default"/>
      </items>
    </pivotField>
    <pivotField dataField="1" subtotalTop="0" showAll="0" insertBlankRow="1" sumSubtotal="1"/>
    <pivotField subtotalTop="0" showAll="0" insertBlankRow="1"/>
    <pivotField subtotalTop="0" showAll="0" insertBlankRow="1"/>
    <pivotField axis="axisRow" subtotalTop="0" showAll="0" insertBlankRow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sd="0" x="13"/>
        <item t="default"/>
      </items>
    </pivotField>
    <pivotField subtotalTop="0" showAll="0" insertBlankRow="1">
      <items count="7">
        <item x="0"/>
        <item sd="0" x="1"/>
        <item sd="0" x="2"/>
        <item sd="0" x="3"/>
        <item sd="0" x="4"/>
        <item x="5"/>
        <item t="default"/>
      </items>
    </pivotField>
    <pivotField axis="axisRow" subtotalTop="0" showAll="0" insertBlankRow="1" defaultSubtotal="0">
      <items count="5">
        <item sd="0" x="0"/>
        <item x="1"/>
        <item x="2"/>
        <item x="3"/>
        <item x="4"/>
      </items>
    </pivotField>
  </pivotFields>
  <rowFields count="3">
    <field x="15"/>
    <field x="13"/>
    <field x="9"/>
  </rowFields>
  <rowItems count="150">
    <i>
      <x v="1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>
      <x v="2"/>
    </i>
    <i r="1">
      <x v="1"/>
    </i>
    <i r="2">
      <x v="1"/>
    </i>
    <i r="2">
      <x v="2"/>
    </i>
    <i t="default" r="1">
      <x v="1"/>
    </i>
    <i t="blank" r="1">
      <x v="1"/>
    </i>
    <i r="1">
      <x v="2"/>
    </i>
    <i r="2">
      <x v="1"/>
    </i>
    <i t="default" r="1">
      <x v="2"/>
    </i>
    <i t="blank" r="1">
      <x v="2"/>
    </i>
    <i r="1">
      <x v="3"/>
    </i>
    <i r="2">
      <x v="1"/>
    </i>
    <i t="default" r="1">
      <x v="3"/>
    </i>
    <i t="blank" r="1">
      <x v="3"/>
    </i>
    <i r="1">
      <x v="4"/>
    </i>
    <i r="2">
      <x v="1"/>
    </i>
    <i t="default" r="1">
      <x v="4"/>
    </i>
    <i t="blank" r="1">
      <x v="4"/>
    </i>
    <i r="1">
      <x v="5"/>
    </i>
    <i r="2">
      <x v="1"/>
    </i>
    <i r="2">
      <x v="2"/>
    </i>
    <i t="default" r="1">
      <x v="5"/>
    </i>
    <i t="blank" r="1">
      <x v="5"/>
    </i>
    <i r="1">
      <x v="6"/>
    </i>
    <i r="2">
      <x v="1"/>
    </i>
    <i t="default" r="1">
      <x v="6"/>
    </i>
    <i t="blank" r="1">
      <x v="6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>
      <x v="3"/>
    </i>
    <i r="1">
      <x v="1"/>
    </i>
    <i r="2">
      <x v="1"/>
    </i>
    <i r="2">
      <x v="2"/>
    </i>
    <i t="default" r="1">
      <x v="1"/>
    </i>
    <i t="blank" r="1">
      <x v="1"/>
    </i>
    <i r="1">
      <x v="2"/>
    </i>
    <i r="2">
      <x v="1"/>
    </i>
    <i r="2">
      <x v="2"/>
    </i>
    <i t="default" r="1">
      <x v="2"/>
    </i>
    <i t="blank" r="1">
      <x v="2"/>
    </i>
    <i r="1">
      <x v="3"/>
    </i>
    <i r="2">
      <x v="1"/>
    </i>
    <i r="2">
      <x v="2"/>
    </i>
    <i t="default" r="1">
      <x v="3"/>
    </i>
    <i t="blank" r="1">
      <x v="3"/>
    </i>
    <i r="1">
      <x v="4"/>
    </i>
    <i r="2">
      <x v="1"/>
    </i>
    <i r="2">
      <x v="2"/>
    </i>
    <i t="default" r="1">
      <x v="4"/>
    </i>
    <i t="blank" r="1">
      <x v="4"/>
    </i>
    <i r="1">
      <x v="5"/>
    </i>
    <i r="2">
      <x v="1"/>
    </i>
    <i r="2">
      <x v="2"/>
    </i>
    <i t="default" r="1">
      <x v="5"/>
    </i>
    <i t="blank" r="1">
      <x v="5"/>
    </i>
    <i r="1">
      <x v="6"/>
    </i>
    <i r="2">
      <x v="1"/>
    </i>
    <i r="2">
      <x v="2"/>
    </i>
    <i t="default" r="1">
      <x v="6"/>
    </i>
    <i t="blank" r="1">
      <x v="6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0" baseField="13" baseItem="7"/>
    <dataField name="%" fld="10" baseField="13" baseItem="7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formats count="442">
    <format dxfId="17684">
      <pivotArea field="-2" type="button" dataOnly="0" labelOnly="1" outline="0" axis="axisCol" fieldPosition="1"/>
    </format>
    <format dxfId="17685">
      <pivotArea dataOnly="0" labelOnly="1" fieldPosition="0">
        <references count="1">
          <reference field="8" count="1">
            <x v="0"/>
          </reference>
        </references>
      </pivotArea>
    </format>
    <format dxfId="17686">
      <pivotArea dataOnly="0" labelOnly="1" fieldPosition="0">
        <references count="1">
          <reference field="8" count="1">
            <x v="0"/>
          </reference>
        </references>
      </pivotArea>
    </format>
    <format dxfId="17687">
      <pivotArea dataOnly="0" labelOnly="1" fieldPosition="0">
        <references count="1">
          <reference field="8" count="1">
            <x v="0"/>
          </reference>
        </references>
      </pivotArea>
    </format>
    <format dxfId="17688">
      <pivotArea dataOnly="0" labelOnly="1" fieldPosition="0">
        <references count="1">
          <reference field="8" count="1">
            <x v="0"/>
          </reference>
        </references>
      </pivotArea>
    </format>
    <format dxfId="17689">
      <pivotArea dataOnly="0" labelOnly="1" fieldPosition="0">
        <references count="1">
          <reference field="8" count="1">
            <x v="2"/>
          </reference>
        </references>
      </pivotArea>
    </format>
    <format dxfId="17690">
      <pivotArea dataOnly="0" labelOnly="1" fieldPosition="0">
        <references count="1">
          <reference field="8" count="1">
            <x v="2"/>
          </reference>
        </references>
      </pivotArea>
    </format>
    <format dxfId="17691">
      <pivotArea dataOnly="0" labelOnly="1" fieldPosition="0">
        <references count="1">
          <reference field="8" count="1">
            <x v="2"/>
          </reference>
        </references>
      </pivotArea>
    </format>
    <format dxfId="17692">
      <pivotArea dataOnly="0" labelOnly="1" fieldPosition="0">
        <references count="1">
          <reference field="8" count="1">
            <x v="3"/>
          </reference>
        </references>
      </pivotArea>
    </format>
    <format dxfId="17693">
      <pivotArea dataOnly="0" labelOnly="1" fieldPosition="0">
        <references count="1">
          <reference field="8" count="1">
            <x v="0"/>
          </reference>
        </references>
      </pivotArea>
    </format>
    <format dxfId="17694">
      <pivotArea dataOnly="0" labelOnly="1" fieldPosition="0">
        <references count="1">
          <reference field="8" count="1">
            <x v="1"/>
          </reference>
        </references>
      </pivotArea>
    </format>
    <format dxfId="17695">
      <pivotArea dataOnly="0" labelOnly="1" fieldPosition="0">
        <references count="1">
          <reference field="8" count="1">
            <x v="1"/>
          </reference>
        </references>
      </pivotArea>
    </format>
    <format dxfId="17696">
      <pivotArea dataOnly="0" labelOnly="1" fieldPosition="0">
        <references count="1">
          <reference field="8" count="1">
            <x v="0"/>
          </reference>
        </references>
      </pivotArea>
    </format>
    <format dxfId="17697">
      <pivotArea type="all" dataOnly="0" outline="0" fieldPosition="0"/>
    </format>
    <format dxfId="17698">
      <pivotArea outline="0" collapsedLevelsAreSubtotals="1" fieldPosition="0"/>
    </format>
    <format dxfId="17699">
      <pivotArea type="origin" dataOnly="0" labelOnly="1" outline="0" fieldPosition="0"/>
    </format>
    <format dxfId="17700">
      <pivotArea field="8" type="button" dataOnly="0" labelOnly="1" outline="0" axis="axisCol" fieldPosition="0"/>
    </format>
    <format dxfId="17701">
      <pivotArea field="-2" type="button" dataOnly="0" labelOnly="1" outline="0" axis="axisCol" fieldPosition="1"/>
    </format>
    <format dxfId="17702">
      <pivotArea type="topRight" dataOnly="0" labelOnly="1" outline="0" fieldPosition="0"/>
    </format>
    <format dxfId="17703">
      <pivotArea dataOnly="0" labelOnly="1" grandRow="1" outline="0" fieldPosition="0"/>
    </format>
    <format dxfId="17704">
      <pivotArea dataOnly="0" labelOnly="1" fieldPosition="0">
        <references count="1">
          <reference field="8" count="0"/>
        </references>
      </pivotArea>
    </format>
    <format dxfId="17705">
      <pivotArea type="all" dataOnly="0" outline="0" fieldPosition="0"/>
    </format>
    <format dxfId="17706">
      <pivotArea outline="0" collapsedLevelsAreSubtotals="1" fieldPosition="0"/>
    </format>
    <format dxfId="17707">
      <pivotArea type="origin" dataOnly="0" labelOnly="1" outline="0" fieldPosition="0"/>
    </format>
    <format dxfId="17708">
      <pivotArea field="8" type="button" dataOnly="0" labelOnly="1" outline="0" axis="axisCol" fieldPosition="0"/>
    </format>
    <format dxfId="17709">
      <pivotArea field="-2" type="button" dataOnly="0" labelOnly="1" outline="0" axis="axisCol" fieldPosition="1"/>
    </format>
    <format dxfId="17710">
      <pivotArea type="topRight" dataOnly="0" labelOnly="1" outline="0" fieldPosition="0"/>
    </format>
    <format dxfId="17711">
      <pivotArea dataOnly="0" labelOnly="1" grandRow="1" outline="0" fieldPosition="0"/>
    </format>
    <format dxfId="17712">
      <pivotArea dataOnly="0" labelOnly="1" fieldPosition="0">
        <references count="1">
          <reference field="8" count="0"/>
        </references>
      </pivotArea>
    </format>
    <format dxfId="17713">
      <pivotArea type="all" dataOnly="0" outline="0" fieldPosition="0"/>
    </format>
    <format dxfId="17714">
      <pivotArea outline="0" collapsedLevelsAreSubtotals="1" fieldPosition="0"/>
    </format>
    <format dxfId="17715">
      <pivotArea type="origin" dataOnly="0" labelOnly="1" outline="0" fieldPosition="0"/>
    </format>
    <format dxfId="17716">
      <pivotArea field="8" type="button" dataOnly="0" labelOnly="1" outline="0" axis="axisCol" fieldPosition="0"/>
    </format>
    <format dxfId="17717">
      <pivotArea field="-2" type="button" dataOnly="0" labelOnly="1" outline="0" axis="axisCol" fieldPosition="1"/>
    </format>
    <format dxfId="17718">
      <pivotArea type="topRight" dataOnly="0" labelOnly="1" outline="0" fieldPosition="0"/>
    </format>
    <format dxfId="17719">
      <pivotArea dataOnly="0" labelOnly="1" grandRow="1" outline="0" fieldPosition="0"/>
    </format>
    <format dxfId="17720">
      <pivotArea dataOnly="0" labelOnly="1" fieldPosition="0">
        <references count="1">
          <reference field="8" count="0"/>
        </references>
      </pivotArea>
    </format>
    <format dxfId="17721">
      <pivotArea type="origin" dataOnly="0" labelOnly="1" outline="0" fieldPosition="0"/>
    </format>
    <format dxfId="17722">
      <pivotArea field="8" type="button" dataOnly="0" labelOnly="1" outline="0" axis="axisCol" fieldPosition="0"/>
    </format>
    <format dxfId="17723">
      <pivotArea field="-2" type="button" dataOnly="0" labelOnly="1" outline="0" axis="axisCol" fieldPosition="1"/>
    </format>
    <format dxfId="17724">
      <pivotArea type="all" dataOnly="0" outline="0" fieldPosition="0"/>
    </format>
    <format dxfId="17725">
      <pivotArea outline="0" collapsedLevelsAreSubtotals="1" fieldPosition="0"/>
    </format>
    <format dxfId="17726">
      <pivotArea type="origin" dataOnly="0" labelOnly="1" outline="0" fieldPosition="0"/>
    </format>
    <format dxfId="17727">
      <pivotArea field="8" type="button" dataOnly="0" labelOnly="1" outline="0" axis="axisCol" fieldPosition="0"/>
    </format>
    <format dxfId="17728">
      <pivotArea field="-2" type="button" dataOnly="0" labelOnly="1" outline="0" axis="axisCol" fieldPosition="1"/>
    </format>
    <format dxfId="17729">
      <pivotArea type="topRight" dataOnly="0" labelOnly="1" outline="0" fieldPosition="0"/>
    </format>
    <format dxfId="17730">
      <pivotArea dataOnly="0" labelOnly="1" grandRow="1" outline="0" fieldPosition="0"/>
    </format>
    <format dxfId="17731">
      <pivotArea dataOnly="0" labelOnly="1" fieldPosition="0">
        <references count="1">
          <reference field="8" count="0"/>
        </references>
      </pivotArea>
    </format>
    <format dxfId="17732">
      <pivotArea type="origin" dataOnly="0" labelOnly="1" outline="0" fieldPosition="0"/>
    </format>
    <format dxfId="17733">
      <pivotArea field="8" type="button" dataOnly="0" labelOnly="1" outline="0" axis="axisCol" fieldPosition="0"/>
    </format>
    <format dxfId="17734">
      <pivotArea field="-2" type="button" dataOnly="0" labelOnly="1" outline="0" axis="axisCol" fieldPosition="1"/>
    </format>
    <format dxfId="17735">
      <pivotArea type="topRight" dataOnly="0" labelOnly="1" outline="0" offset="A1:G1" fieldPosition="0"/>
    </format>
    <format dxfId="17736">
      <pivotArea dataOnly="0" labelOnly="1" fieldPosition="0">
        <references count="1">
          <reference field="8" count="0"/>
        </references>
      </pivotArea>
    </format>
    <format dxfId="17737">
      <pivotArea field="1" type="button" dataOnly="0" labelOnly="1" outline="0"/>
    </format>
    <format dxfId="17738">
      <pivotArea dataOnly="0" labelOnly="1" grandRow="1" outline="0" fieldPosition="0"/>
    </format>
    <format dxfId="17739">
      <pivotArea field="-2" type="button" dataOnly="0" labelOnly="1" outline="0" axis="axisCol" fieldPosition="1"/>
    </format>
    <format dxfId="17740">
      <pivotArea dataOnly="0" labelOnly="1" fieldPosition="0">
        <references count="1">
          <reference field="8" count="1">
            <x v="0"/>
          </reference>
        </references>
      </pivotArea>
    </format>
    <format dxfId="17741">
      <pivotArea collapsedLevelsAreSubtotals="1" fieldPosition="0">
        <references count="2">
          <reference field="13" count="1">
            <x v="7"/>
          </reference>
          <reference field="15" count="1" selected="0">
            <x v="1"/>
          </reference>
        </references>
      </pivotArea>
    </format>
    <format dxfId="17742">
      <pivotArea dataOnly="0" labelOnly="1" fieldPosition="0">
        <references count="2">
          <reference field="13" count="1">
            <x v="7"/>
          </reference>
          <reference field="15" count="1" selected="0">
            <x v="1"/>
          </reference>
        </references>
      </pivotArea>
    </format>
    <format dxfId="17743">
      <pivotArea collapsedLevelsAreSubtotals="1" fieldPosition="0">
        <references count="2"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744">
      <pivotArea dataOnly="0" labelOnly="1" fieldPosition="0">
        <references count="2"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745">
      <pivotArea outline="0" fieldPosition="0">
        <references count="1">
          <reference field="4294967294" count="1">
            <x v="1"/>
          </reference>
        </references>
      </pivotArea>
    </format>
    <format dxfId="1774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774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74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774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775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775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775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775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775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775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775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775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775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775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776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776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776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7763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15" count="1">
            <x v="2"/>
          </reference>
        </references>
      </pivotArea>
    </format>
    <format dxfId="1776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776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776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776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776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776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777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777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777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777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777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777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777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777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777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777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778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778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778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778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778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778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778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778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778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778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779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779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779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779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779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779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779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779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779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779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7800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15" count="1">
            <x v="3"/>
          </reference>
        </references>
      </pivotArea>
    </format>
    <format dxfId="1780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780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780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780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780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780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780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780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780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781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781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781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781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781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781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781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781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781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0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7819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82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7"/>
          </reference>
          <reference field="15" count="1" selected="0">
            <x v="1"/>
          </reference>
        </references>
      </pivotArea>
    </format>
    <format dxfId="1782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782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82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782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782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782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782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782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782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783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783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783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783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783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783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783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783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7838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1"/>
          </reference>
          <reference field="15" count="1">
            <x v="2"/>
          </reference>
        </references>
      </pivotArea>
    </format>
    <format dxfId="1783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784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784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784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784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784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784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784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784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784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784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785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785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785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785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785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785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785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785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785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785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786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786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786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786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786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786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786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786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786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786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787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787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787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787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787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7875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1"/>
          </reference>
          <reference field="15" count="1">
            <x v="3"/>
          </reference>
        </references>
      </pivotArea>
    </format>
    <format dxfId="1787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787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787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787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788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788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788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788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788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788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788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788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788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788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789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789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789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789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7894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89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7"/>
          </reference>
          <reference field="15" count="1" selected="0">
            <x v="1"/>
          </reference>
        </references>
      </pivotArea>
    </format>
    <format dxfId="1789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789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89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789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790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790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790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790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790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790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790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790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790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790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791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791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791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7913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2"/>
          </reference>
          <reference field="15" count="1">
            <x v="2"/>
          </reference>
        </references>
      </pivotArea>
    </format>
    <format dxfId="1791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791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791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791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791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791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792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792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792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792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792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792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792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792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792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792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793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793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793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793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793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793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793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793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793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793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794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794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794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794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794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794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794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794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794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794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7950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2"/>
          </reference>
          <reference field="15" count="1">
            <x v="3"/>
          </reference>
        </references>
      </pivotArea>
    </format>
    <format dxfId="1795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795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795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795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795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795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795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795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795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796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796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796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796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796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796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796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796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2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796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2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7969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97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797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97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797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797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797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797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797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797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797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798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798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798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798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798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798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798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7987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3"/>
          </reference>
          <reference field="15" count="1">
            <x v="2"/>
          </reference>
        </references>
      </pivotArea>
    </format>
    <format dxfId="1798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798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799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799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799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799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799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799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799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799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799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799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800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800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800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800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800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800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800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800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800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800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801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801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801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801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801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801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801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801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801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801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802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802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802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802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8024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3"/>
          </reference>
          <reference field="15" count="1">
            <x v="3"/>
          </reference>
        </references>
      </pivotArea>
    </format>
    <format dxfId="1802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802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802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802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802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803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803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803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803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803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803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803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803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803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803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804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804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3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804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3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8043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804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804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804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804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804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804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805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805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805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805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805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805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805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805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805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805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806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8061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4"/>
          </reference>
          <reference field="15" count="1">
            <x v="2"/>
          </reference>
        </references>
      </pivotArea>
    </format>
    <format dxfId="1806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806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806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806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806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806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806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806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807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807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807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807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807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807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807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807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8078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807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808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8081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808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808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8084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808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808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8087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808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808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809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809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809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809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809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809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809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809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8098">
      <pivotArea collapsedLevelsAreSubtotals="1" fieldPosition="0">
        <references count="3">
          <reference field="4294967294" count="1" selected="0">
            <x v="1"/>
          </reference>
          <reference field="8" count="1" selected="0">
            <x v="4"/>
          </reference>
          <reference field="15" count="1">
            <x v="3"/>
          </reference>
        </references>
      </pivotArea>
    </format>
    <format dxfId="18099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8100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810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8102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8103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810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8105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8106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8107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8108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8109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8110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8111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8112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8113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8114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8115">
      <pivotArea collapsedLevelsAreSubtotals="1" fieldPosition="0">
        <references count="5">
          <reference field="4294967294" count="1" selected="0">
            <x v="1"/>
          </reference>
          <reference field="8" count="1" selected="0">
            <x v="4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8116">
      <pivotArea collapsedLevelsAreSubtotals="1" fieldPosition="0">
        <references count="4">
          <reference field="4294967294" count="1" selected="0">
            <x v="1"/>
          </reference>
          <reference field="8" count="1" selected="0">
            <x v="4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8117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8118">
      <pivotArea field="15" type="button" dataOnly="0" labelOnly="1" outline="0" axis="axisRow" fieldPosition="0"/>
    </format>
    <format dxfId="18119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8120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812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812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812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812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812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4CEAF-D4C2-45DD-8620-E350D24E4CA1}" name="PivotTable1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3:M8" firstHeaderRow="1" firstDataRow="3" firstDataCol="1"/>
  <pivotFields count="16">
    <pivotField subtotalTop="0" showAll="0" insertBlankRow="1"/>
    <pivotField subtotalTop="0" showAll="0" insertBlankRow="1"/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axis="axisRow" subtotalTop="0" showAll="0" insertBlankRow="1" sortType="descending">
      <items count="4">
        <item m="1" x="2"/>
        <item sd="0" x="0"/>
        <item sd="0" x="1"/>
        <item t="default"/>
      </items>
    </pivotField>
    <pivotField dataField="1" subtotalTop="0" showAll="0" insertBlankRow="1" sumSubtotal="1"/>
    <pivotField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0" baseField="9" baseItem="1"/>
    <dataField name="%" fld="10" showDataAs="percentOfTotal" baseField="9" baseItem="1" numFmtId="10"/>
  </dataFields>
  <formats count="81">
    <format dxfId="17603">
      <pivotArea dataOnly="0" labelOnly="1" fieldPosition="0">
        <references count="1">
          <reference field="8" count="1">
            <x v="0"/>
          </reference>
        </references>
      </pivotArea>
    </format>
    <format dxfId="17604">
      <pivotArea dataOnly="0" labelOnly="1" fieldPosition="0">
        <references count="1">
          <reference field="8" count="1">
            <x v="0"/>
          </reference>
        </references>
      </pivotArea>
    </format>
    <format dxfId="17605">
      <pivotArea dataOnly="0" labelOnly="1" fieldPosition="0">
        <references count="1">
          <reference field="8" count="1">
            <x v="1"/>
          </reference>
        </references>
      </pivotArea>
    </format>
    <format dxfId="17606">
      <pivotArea dataOnly="0" labelOnly="1" fieldPosition="0">
        <references count="1">
          <reference field="8" count="1">
            <x v="1"/>
          </reference>
        </references>
      </pivotArea>
    </format>
    <format dxfId="17607">
      <pivotArea dataOnly="0" labelOnly="1" fieldPosition="0">
        <references count="1">
          <reference field="8" count="1">
            <x v="2"/>
          </reference>
        </references>
      </pivotArea>
    </format>
    <format dxfId="17608">
      <pivotArea dataOnly="0" labelOnly="1" fieldPosition="0">
        <references count="1">
          <reference field="8" count="1">
            <x v="2"/>
          </reference>
        </references>
      </pivotArea>
    </format>
    <format dxfId="17609">
      <pivotArea dataOnly="0" labelOnly="1" fieldPosition="0">
        <references count="1">
          <reference field="8" count="1">
            <x v="2"/>
          </reference>
        </references>
      </pivotArea>
    </format>
    <format dxfId="17610">
      <pivotArea dataOnly="0" labelOnly="1" fieldPosition="0">
        <references count="1">
          <reference field="8" count="1">
            <x v="3"/>
          </reference>
        </references>
      </pivotArea>
    </format>
    <format dxfId="17611">
      <pivotArea dataOnly="0" labelOnly="1" fieldPosition="0">
        <references count="1">
          <reference field="8" count="1">
            <x v="0"/>
          </reference>
        </references>
      </pivotArea>
    </format>
    <format dxfId="17612">
      <pivotArea dataOnly="0" labelOnly="1" fieldPosition="0">
        <references count="1">
          <reference field="8" count="1">
            <x v="1"/>
          </reference>
        </references>
      </pivotArea>
    </format>
    <format dxfId="17613">
      <pivotArea dataOnly="0" labelOnly="1" fieldPosition="0">
        <references count="1">
          <reference field="8" count="1">
            <x v="2"/>
          </reference>
        </references>
      </pivotArea>
    </format>
    <format dxfId="17614">
      <pivotArea dataOnly="0" labelOnly="1" fieldPosition="0">
        <references count="1">
          <reference field="8" count="1">
            <x v="3"/>
          </reference>
        </references>
      </pivotArea>
    </format>
    <format dxfId="17615">
      <pivotArea dataOnly="0" labelOnly="1" fieldPosition="0">
        <references count="1">
          <reference field="8" count="0"/>
        </references>
      </pivotArea>
    </format>
    <format dxfId="17616">
      <pivotArea dataOnly="0" labelOnly="1" fieldPosition="0">
        <references count="1">
          <reference field="8" count="1">
            <x v="1"/>
          </reference>
        </references>
      </pivotArea>
    </format>
    <format dxfId="17617">
      <pivotArea dataOnly="0" labelOnly="1" fieldPosition="0">
        <references count="1">
          <reference field="8" count="1">
            <x v="0"/>
          </reference>
        </references>
      </pivotArea>
    </format>
    <format dxfId="17618">
      <pivotArea type="all" dataOnly="0" outline="0" fieldPosition="0"/>
    </format>
    <format dxfId="17619">
      <pivotArea outline="0" collapsedLevelsAreSubtotals="1" fieldPosition="0"/>
    </format>
    <format dxfId="17620">
      <pivotArea type="origin" dataOnly="0" labelOnly="1" outline="0" fieldPosition="0"/>
    </format>
    <format dxfId="17621">
      <pivotArea field="8" type="button" dataOnly="0" labelOnly="1" outline="0" axis="axisCol" fieldPosition="0"/>
    </format>
    <format dxfId="17622">
      <pivotArea field="-2" type="button" dataOnly="0" labelOnly="1" outline="0" axis="axisCol" fieldPosition="1"/>
    </format>
    <format dxfId="17623">
      <pivotArea type="topRight" dataOnly="0" labelOnly="1" outline="0" fieldPosition="0"/>
    </format>
    <format dxfId="17624">
      <pivotArea field="9" type="button" dataOnly="0" labelOnly="1" outline="0" axis="axisRow" fieldPosition="0"/>
    </format>
    <format dxfId="17625">
      <pivotArea dataOnly="0" labelOnly="1" fieldPosition="0">
        <references count="1">
          <reference field="9" count="0"/>
        </references>
      </pivotArea>
    </format>
    <format dxfId="17626">
      <pivotArea dataOnly="0" labelOnly="1" grandRow="1" outline="0" fieldPosition="0"/>
    </format>
    <format dxfId="17627">
      <pivotArea dataOnly="0" labelOnly="1" fieldPosition="0">
        <references count="1">
          <reference field="8" count="0"/>
        </references>
      </pivotArea>
    </format>
    <format dxfId="17628">
      <pivotArea type="all" dataOnly="0" outline="0" fieldPosition="0"/>
    </format>
    <format dxfId="17629">
      <pivotArea outline="0" collapsedLevelsAreSubtotals="1" fieldPosition="0"/>
    </format>
    <format dxfId="17630">
      <pivotArea type="origin" dataOnly="0" labelOnly="1" outline="0" fieldPosition="0"/>
    </format>
    <format dxfId="17631">
      <pivotArea field="8" type="button" dataOnly="0" labelOnly="1" outline="0" axis="axisCol" fieldPosition="0"/>
    </format>
    <format dxfId="17632">
      <pivotArea field="-2" type="button" dataOnly="0" labelOnly="1" outline="0" axis="axisCol" fieldPosition="1"/>
    </format>
    <format dxfId="17633">
      <pivotArea type="topRight" dataOnly="0" labelOnly="1" outline="0" fieldPosition="0"/>
    </format>
    <format dxfId="17634">
      <pivotArea field="9" type="button" dataOnly="0" labelOnly="1" outline="0" axis="axisRow" fieldPosition="0"/>
    </format>
    <format dxfId="17635">
      <pivotArea dataOnly="0" labelOnly="1" fieldPosition="0">
        <references count="1">
          <reference field="9" count="0"/>
        </references>
      </pivotArea>
    </format>
    <format dxfId="17636">
      <pivotArea dataOnly="0" labelOnly="1" grandRow="1" outline="0" fieldPosition="0"/>
    </format>
    <format dxfId="17637">
      <pivotArea dataOnly="0" labelOnly="1" fieldPosition="0">
        <references count="1">
          <reference field="8" count="0"/>
        </references>
      </pivotArea>
    </format>
    <format dxfId="17638">
      <pivotArea type="all" dataOnly="0" outline="0" fieldPosition="0"/>
    </format>
    <format dxfId="17639">
      <pivotArea outline="0" collapsedLevelsAreSubtotals="1" fieldPosition="0"/>
    </format>
    <format dxfId="17640">
      <pivotArea type="origin" dataOnly="0" labelOnly="1" outline="0" fieldPosition="0"/>
    </format>
    <format dxfId="17641">
      <pivotArea field="8" type="button" dataOnly="0" labelOnly="1" outline="0" axis="axisCol" fieldPosition="0"/>
    </format>
    <format dxfId="17642">
      <pivotArea field="-2" type="button" dataOnly="0" labelOnly="1" outline="0" axis="axisCol" fieldPosition="1"/>
    </format>
    <format dxfId="17643">
      <pivotArea type="topRight" dataOnly="0" labelOnly="1" outline="0" fieldPosition="0"/>
    </format>
    <format dxfId="17644">
      <pivotArea field="9" type="button" dataOnly="0" labelOnly="1" outline="0" axis="axisRow" fieldPosition="0"/>
    </format>
    <format dxfId="17645">
      <pivotArea dataOnly="0" labelOnly="1" fieldPosition="0">
        <references count="1">
          <reference field="9" count="0"/>
        </references>
      </pivotArea>
    </format>
    <format dxfId="17646">
      <pivotArea dataOnly="0" labelOnly="1" grandRow="1" outline="0" fieldPosition="0"/>
    </format>
    <format dxfId="17647">
      <pivotArea dataOnly="0" labelOnly="1" fieldPosition="0">
        <references count="1">
          <reference field="8" count="0"/>
        </references>
      </pivotArea>
    </format>
    <format dxfId="17648">
      <pivotArea type="all" dataOnly="0" outline="0" fieldPosition="0"/>
    </format>
    <format dxfId="17649">
      <pivotArea outline="0" collapsedLevelsAreSubtotals="1" fieldPosition="0"/>
    </format>
    <format dxfId="17650">
      <pivotArea type="origin" dataOnly="0" labelOnly="1" outline="0" fieldPosition="0"/>
    </format>
    <format dxfId="17651">
      <pivotArea field="8" type="button" dataOnly="0" labelOnly="1" outline="0" axis="axisCol" fieldPosition="0"/>
    </format>
    <format dxfId="17652">
      <pivotArea field="-2" type="button" dataOnly="0" labelOnly="1" outline="0" axis="axisCol" fieldPosition="1"/>
    </format>
    <format dxfId="17653">
      <pivotArea type="topRight" dataOnly="0" labelOnly="1" outline="0" fieldPosition="0"/>
    </format>
    <format dxfId="17654">
      <pivotArea field="9" type="button" dataOnly="0" labelOnly="1" outline="0" axis="axisRow" fieldPosition="0"/>
    </format>
    <format dxfId="17655">
      <pivotArea dataOnly="0" labelOnly="1" fieldPosition="0">
        <references count="1">
          <reference field="9" count="0"/>
        </references>
      </pivotArea>
    </format>
    <format dxfId="17656">
      <pivotArea dataOnly="0" labelOnly="1" grandRow="1" outline="0" fieldPosition="0"/>
    </format>
    <format dxfId="17657">
      <pivotArea dataOnly="0" labelOnly="1" fieldPosition="0">
        <references count="1">
          <reference field="8" count="0"/>
        </references>
      </pivotArea>
    </format>
    <format dxfId="17658">
      <pivotArea field="9" type="button" dataOnly="0" labelOnly="1" outline="0" axis="axisRow" fieldPosition="0"/>
    </format>
    <format dxfId="17659">
      <pivotArea type="origin" dataOnly="0" labelOnly="1" outline="0" fieldPosition="0"/>
    </format>
    <format dxfId="17660">
      <pivotArea field="8" type="button" dataOnly="0" labelOnly="1" outline="0" axis="axisCol" fieldPosition="0"/>
    </format>
    <format dxfId="17661">
      <pivotArea field="-2" type="button" dataOnly="0" labelOnly="1" outline="0" axis="axisCol" fieldPosition="1"/>
    </format>
    <format dxfId="17662">
      <pivotArea type="topRight" dataOnly="0" labelOnly="1" outline="0" offset="A1:G1" fieldPosition="0"/>
    </format>
    <format dxfId="17663">
      <pivotArea field="9" type="button" dataOnly="0" labelOnly="1" outline="0" axis="axisRow" fieldPosition="0"/>
    </format>
    <format dxfId="17664">
      <pivotArea dataOnly="0" labelOnly="1" fieldPosition="0">
        <references count="1">
          <reference field="9" count="0"/>
        </references>
      </pivotArea>
    </format>
    <format dxfId="17665">
      <pivotArea dataOnly="0" labelOnly="1" grandRow="1" outline="0" fieldPosition="0"/>
    </format>
    <format dxfId="17666">
      <pivotArea dataOnly="0" labelOnly="1" fieldPosition="0">
        <references count="1">
          <reference field="8" count="0"/>
        </references>
      </pivotArea>
    </format>
    <format dxfId="17667">
      <pivotArea field="-2" type="button" dataOnly="0" labelOnly="1" outline="0" axis="axisCol" fieldPosition="1"/>
    </format>
    <format dxfId="17668">
      <pivotArea dataOnly="0" labelOnly="1" fieldPosition="0">
        <references count="1">
          <reference field="8" count="1">
            <x v="0"/>
          </reference>
        </references>
      </pivotArea>
    </format>
    <format dxfId="17669">
      <pivotArea type="topRight" dataOnly="0" labelOnly="1" outline="0" offset="I1" fieldPosition="0"/>
    </format>
    <format dxfId="17670">
      <pivotArea outline="0" fieldPosition="0">
        <references count="1">
          <reference field="4294967294" count="1">
            <x v="1"/>
          </reference>
        </references>
      </pivotArea>
    </format>
    <format dxfId="17671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672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673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674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675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676">
      <pivotArea field="9" type="button" dataOnly="0" labelOnly="1" outline="0" axis="axisRow" fieldPosition="0"/>
    </format>
    <format dxfId="17677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7678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67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68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68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68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68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48219-547F-4640-816C-C5667BDD7CD3}" name="PivotTable1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3:M8" firstHeaderRow="1" firstDataRow="3" firstDataCol="1"/>
  <pivotFields count="16">
    <pivotField subtotalTop="0" showAll="0" insertBlankRow="1"/>
    <pivotField subtotalTop="0" showAll="0" insertBlankRow="1"/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axis="axisRow" subtotalTop="0" showAll="0" insertBlankRow="1" sortType="descending">
      <items count="4">
        <item m="1" x="2"/>
        <item sd="0" x="0"/>
        <item sd="0" x="1"/>
        <item t="default"/>
      </items>
    </pivotField>
    <pivotField subtotalTop="0" showAll="0" insertBlankRow="1" sumSubtotal="1"/>
    <pivotField dataField="1"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1" baseField="9" baseItem="0"/>
    <dataField name="%" fld="11" showDataAs="percentOfTotal" baseField="9" baseItem="1" numFmtId="10"/>
  </dataFields>
  <formats count="84">
    <format dxfId="17519">
      <pivotArea dataOnly="0" labelOnly="1" fieldPosition="0">
        <references count="1">
          <reference field="8" count="1">
            <x v="0"/>
          </reference>
        </references>
      </pivotArea>
    </format>
    <format dxfId="17520">
      <pivotArea dataOnly="0" labelOnly="1" fieldPosition="0">
        <references count="1">
          <reference field="8" count="1">
            <x v="0"/>
          </reference>
        </references>
      </pivotArea>
    </format>
    <format dxfId="17521">
      <pivotArea dataOnly="0" labelOnly="1" fieldPosition="0">
        <references count="1">
          <reference field="8" count="1">
            <x v="1"/>
          </reference>
        </references>
      </pivotArea>
    </format>
    <format dxfId="17522">
      <pivotArea dataOnly="0" labelOnly="1" fieldPosition="0">
        <references count="1">
          <reference field="8" count="1">
            <x v="1"/>
          </reference>
        </references>
      </pivotArea>
    </format>
    <format dxfId="17523">
      <pivotArea dataOnly="0" labelOnly="1" fieldPosition="0">
        <references count="1">
          <reference field="8" count="1">
            <x v="2"/>
          </reference>
        </references>
      </pivotArea>
    </format>
    <format dxfId="17524">
      <pivotArea dataOnly="0" labelOnly="1" fieldPosition="0">
        <references count="1">
          <reference field="8" count="1">
            <x v="2"/>
          </reference>
        </references>
      </pivotArea>
    </format>
    <format dxfId="17525">
      <pivotArea dataOnly="0" labelOnly="1" fieldPosition="0">
        <references count="1">
          <reference field="8" count="1">
            <x v="2"/>
          </reference>
        </references>
      </pivotArea>
    </format>
    <format dxfId="17526">
      <pivotArea dataOnly="0" labelOnly="1" fieldPosition="0">
        <references count="1">
          <reference field="8" count="1">
            <x v="3"/>
          </reference>
        </references>
      </pivotArea>
    </format>
    <format dxfId="17527">
      <pivotArea dataOnly="0" labelOnly="1" fieldPosition="0">
        <references count="1">
          <reference field="8" count="1">
            <x v="0"/>
          </reference>
        </references>
      </pivotArea>
    </format>
    <format dxfId="17528">
      <pivotArea dataOnly="0" labelOnly="1" fieldPosition="0">
        <references count="1">
          <reference field="8" count="1">
            <x v="1"/>
          </reference>
        </references>
      </pivotArea>
    </format>
    <format dxfId="17529">
      <pivotArea dataOnly="0" labelOnly="1" fieldPosition="0">
        <references count="1">
          <reference field="8" count="1">
            <x v="2"/>
          </reference>
        </references>
      </pivotArea>
    </format>
    <format dxfId="17530">
      <pivotArea dataOnly="0" labelOnly="1" fieldPosition="0">
        <references count="1">
          <reference field="8" count="1">
            <x v="3"/>
          </reference>
        </references>
      </pivotArea>
    </format>
    <format dxfId="17531">
      <pivotArea dataOnly="0" labelOnly="1" fieldPosition="0">
        <references count="1">
          <reference field="8" count="0"/>
        </references>
      </pivotArea>
    </format>
    <format dxfId="17532">
      <pivotArea dataOnly="0" labelOnly="1" fieldPosition="0">
        <references count="1">
          <reference field="8" count="1">
            <x v="1"/>
          </reference>
        </references>
      </pivotArea>
    </format>
    <format dxfId="17533">
      <pivotArea dataOnly="0" labelOnly="1" fieldPosition="0">
        <references count="1">
          <reference field="8" count="1">
            <x v="0"/>
          </reference>
        </references>
      </pivotArea>
    </format>
    <format dxfId="17534">
      <pivotArea type="all" dataOnly="0" outline="0" fieldPosition="0"/>
    </format>
    <format dxfId="17535">
      <pivotArea outline="0" collapsedLevelsAreSubtotals="1" fieldPosition="0"/>
    </format>
    <format dxfId="17536">
      <pivotArea type="origin" dataOnly="0" labelOnly="1" outline="0" fieldPosition="0"/>
    </format>
    <format dxfId="17537">
      <pivotArea field="8" type="button" dataOnly="0" labelOnly="1" outline="0" axis="axisCol" fieldPosition="0"/>
    </format>
    <format dxfId="17538">
      <pivotArea field="-2" type="button" dataOnly="0" labelOnly="1" outline="0" axis="axisCol" fieldPosition="1"/>
    </format>
    <format dxfId="17539">
      <pivotArea type="topRight" dataOnly="0" labelOnly="1" outline="0" fieldPosition="0"/>
    </format>
    <format dxfId="17540">
      <pivotArea field="9" type="button" dataOnly="0" labelOnly="1" outline="0" axis="axisRow" fieldPosition="0"/>
    </format>
    <format dxfId="17541">
      <pivotArea dataOnly="0" labelOnly="1" fieldPosition="0">
        <references count="1">
          <reference field="9" count="0"/>
        </references>
      </pivotArea>
    </format>
    <format dxfId="17542">
      <pivotArea dataOnly="0" labelOnly="1" grandRow="1" outline="0" fieldPosition="0"/>
    </format>
    <format dxfId="17543">
      <pivotArea dataOnly="0" labelOnly="1" fieldPosition="0">
        <references count="1">
          <reference field="8" count="0"/>
        </references>
      </pivotArea>
    </format>
    <format dxfId="17544">
      <pivotArea type="all" dataOnly="0" outline="0" fieldPosition="0"/>
    </format>
    <format dxfId="17545">
      <pivotArea outline="0" collapsedLevelsAreSubtotals="1" fieldPosition="0"/>
    </format>
    <format dxfId="17546">
      <pivotArea type="origin" dataOnly="0" labelOnly="1" outline="0" fieldPosition="0"/>
    </format>
    <format dxfId="17547">
      <pivotArea field="8" type="button" dataOnly="0" labelOnly="1" outline="0" axis="axisCol" fieldPosition="0"/>
    </format>
    <format dxfId="17548">
      <pivotArea field="-2" type="button" dataOnly="0" labelOnly="1" outline="0" axis="axisCol" fieldPosition="1"/>
    </format>
    <format dxfId="17549">
      <pivotArea type="topRight" dataOnly="0" labelOnly="1" outline="0" fieldPosition="0"/>
    </format>
    <format dxfId="17550">
      <pivotArea field="9" type="button" dataOnly="0" labelOnly="1" outline="0" axis="axisRow" fieldPosition="0"/>
    </format>
    <format dxfId="17551">
      <pivotArea dataOnly="0" labelOnly="1" fieldPosition="0">
        <references count="1">
          <reference field="9" count="0"/>
        </references>
      </pivotArea>
    </format>
    <format dxfId="17552">
      <pivotArea dataOnly="0" labelOnly="1" grandRow="1" outline="0" fieldPosition="0"/>
    </format>
    <format dxfId="17553">
      <pivotArea dataOnly="0" labelOnly="1" fieldPosition="0">
        <references count="1">
          <reference field="8" count="0"/>
        </references>
      </pivotArea>
    </format>
    <format dxfId="17554">
      <pivotArea type="all" dataOnly="0" outline="0" fieldPosition="0"/>
    </format>
    <format dxfId="17555">
      <pivotArea outline="0" collapsedLevelsAreSubtotals="1" fieldPosition="0"/>
    </format>
    <format dxfId="17556">
      <pivotArea type="origin" dataOnly="0" labelOnly="1" outline="0" fieldPosition="0"/>
    </format>
    <format dxfId="17557">
      <pivotArea field="8" type="button" dataOnly="0" labelOnly="1" outline="0" axis="axisCol" fieldPosition="0"/>
    </format>
    <format dxfId="17558">
      <pivotArea field="-2" type="button" dataOnly="0" labelOnly="1" outline="0" axis="axisCol" fieldPosition="1"/>
    </format>
    <format dxfId="17559">
      <pivotArea type="topRight" dataOnly="0" labelOnly="1" outline="0" fieldPosition="0"/>
    </format>
    <format dxfId="17560">
      <pivotArea field="9" type="button" dataOnly="0" labelOnly="1" outline="0" axis="axisRow" fieldPosition="0"/>
    </format>
    <format dxfId="17561">
      <pivotArea dataOnly="0" labelOnly="1" fieldPosition="0">
        <references count="1">
          <reference field="9" count="0"/>
        </references>
      </pivotArea>
    </format>
    <format dxfId="17562">
      <pivotArea dataOnly="0" labelOnly="1" grandRow="1" outline="0" fieldPosition="0"/>
    </format>
    <format dxfId="17563">
      <pivotArea dataOnly="0" labelOnly="1" fieldPosition="0">
        <references count="1">
          <reference field="8" count="0"/>
        </references>
      </pivotArea>
    </format>
    <format dxfId="17564">
      <pivotArea type="all" dataOnly="0" outline="0" fieldPosition="0"/>
    </format>
    <format dxfId="17565">
      <pivotArea outline="0" collapsedLevelsAreSubtotals="1" fieldPosition="0"/>
    </format>
    <format dxfId="17566">
      <pivotArea type="origin" dataOnly="0" labelOnly="1" outline="0" fieldPosition="0"/>
    </format>
    <format dxfId="17567">
      <pivotArea field="8" type="button" dataOnly="0" labelOnly="1" outline="0" axis="axisCol" fieldPosition="0"/>
    </format>
    <format dxfId="17568">
      <pivotArea field="-2" type="button" dataOnly="0" labelOnly="1" outline="0" axis="axisCol" fieldPosition="1"/>
    </format>
    <format dxfId="17569">
      <pivotArea type="topRight" dataOnly="0" labelOnly="1" outline="0" fieldPosition="0"/>
    </format>
    <format dxfId="17570">
      <pivotArea field="9" type="button" dataOnly="0" labelOnly="1" outline="0" axis="axisRow" fieldPosition="0"/>
    </format>
    <format dxfId="17571">
      <pivotArea dataOnly="0" labelOnly="1" fieldPosition="0">
        <references count="1">
          <reference field="9" count="0"/>
        </references>
      </pivotArea>
    </format>
    <format dxfId="17572">
      <pivotArea dataOnly="0" labelOnly="1" grandRow="1" outline="0" fieldPosition="0"/>
    </format>
    <format dxfId="17573">
      <pivotArea dataOnly="0" labelOnly="1" fieldPosition="0">
        <references count="1">
          <reference field="8" count="0"/>
        </references>
      </pivotArea>
    </format>
    <format dxfId="17574">
      <pivotArea field="9" type="button" dataOnly="0" labelOnly="1" outline="0" axis="axisRow" fieldPosition="0"/>
    </format>
    <format dxfId="17575">
      <pivotArea type="origin" dataOnly="0" labelOnly="1" outline="0" fieldPosition="0"/>
    </format>
    <format dxfId="17576">
      <pivotArea field="8" type="button" dataOnly="0" labelOnly="1" outline="0" axis="axisCol" fieldPosition="0"/>
    </format>
    <format dxfId="17577">
      <pivotArea field="-2" type="button" dataOnly="0" labelOnly="1" outline="0" axis="axisCol" fieldPosition="1"/>
    </format>
    <format dxfId="17578">
      <pivotArea type="topRight" dataOnly="0" labelOnly="1" outline="0" offset="A1:G1" fieldPosition="0"/>
    </format>
    <format dxfId="17579">
      <pivotArea field="9" type="button" dataOnly="0" labelOnly="1" outline="0" axis="axisRow" fieldPosition="0"/>
    </format>
    <format dxfId="17580">
      <pivotArea dataOnly="0" labelOnly="1" fieldPosition="0">
        <references count="1">
          <reference field="9" count="0"/>
        </references>
      </pivotArea>
    </format>
    <format dxfId="17581">
      <pivotArea dataOnly="0" labelOnly="1" grandRow="1" outline="0" fieldPosition="0"/>
    </format>
    <format dxfId="17582">
      <pivotArea dataOnly="0" labelOnly="1" fieldPosition="0">
        <references count="1">
          <reference field="8" count="0"/>
        </references>
      </pivotArea>
    </format>
    <format dxfId="17583">
      <pivotArea field="-2" type="button" dataOnly="0" labelOnly="1" outline="0" axis="axisCol" fieldPosition="1"/>
    </format>
    <format dxfId="17584">
      <pivotArea dataOnly="0" labelOnly="1" fieldPosition="0">
        <references count="1">
          <reference field="8" count="1">
            <x v="0"/>
          </reference>
        </references>
      </pivotArea>
    </format>
    <format dxfId="17585">
      <pivotArea outline="0" fieldPosition="0">
        <references count="1">
          <reference field="4294967294" count="1">
            <x v="1"/>
          </reference>
        </references>
      </pivotArea>
    </format>
    <format dxfId="17586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17587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588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589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590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591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592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759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59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59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59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59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598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7599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600">
      <pivotArea type="topRight" dataOnly="0" labelOnly="1" outline="0" offset="I1" fieldPosition="0"/>
    </format>
    <format dxfId="1760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602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6B5E8-F6CE-49B7-824D-59871D99C67D}" name="PivotTable4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11:M163" firstHeaderRow="1" firstDataRow="3" firstDataCol="1"/>
  <pivotFields count="16">
    <pivotField subtotalTop="0" showAll="0" insertBlankRow="1"/>
    <pivotField subtotalTop="0" showAll="0" insertBlankRow="1" defaultSubtotal="0">
      <items count="3">
        <item x="0"/>
        <item x="1"/>
        <item x="2"/>
      </items>
    </pivotField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axis="axisRow" subtotalTop="0" showAll="0" insertBlankRow="1" sortType="descending">
      <items count="4">
        <item m="1" x="2"/>
        <item x="0"/>
        <item sd="0" x="1"/>
        <item t="default"/>
      </items>
    </pivotField>
    <pivotField subtotalTop="0" showAll="0" insertBlankRow="1" sumSubtotal="1"/>
    <pivotField dataField="1" subtotalTop="0" showAll="0" insertBlankRow="1"/>
    <pivotField subtotalTop="0" showAll="0" insertBlankRow="1"/>
    <pivotField axis="axisRow" subtotalTop="0" showAll="0" insertBlankRow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sd="0" x="13"/>
        <item t="default"/>
      </items>
    </pivotField>
    <pivotField subtotalTop="0" showAll="0" insertBlankRow="1">
      <items count="7">
        <item x="0"/>
        <item sd="0" x="1"/>
        <item sd="0" x="2"/>
        <item sd="0" x="3"/>
        <item sd="0" x="4"/>
        <item x="5"/>
        <item t="default"/>
      </items>
    </pivotField>
    <pivotField axis="axisRow" subtotalTop="0" showAll="0" insertBlankRow="1" defaultSubtotal="0">
      <items count="5">
        <item sd="0" x="0"/>
        <item x="1"/>
        <item x="2"/>
        <item x="3"/>
        <item x="4"/>
      </items>
    </pivotField>
  </pivotFields>
  <rowFields count="3">
    <field x="15"/>
    <field x="13"/>
    <field x="9"/>
  </rowFields>
  <rowItems count="150">
    <i>
      <x v="1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>
      <x v="2"/>
    </i>
    <i r="1">
      <x v="1"/>
    </i>
    <i r="2">
      <x v="1"/>
    </i>
    <i r="2">
      <x v="2"/>
    </i>
    <i t="default" r="1">
      <x v="1"/>
    </i>
    <i t="blank" r="1">
      <x v="1"/>
    </i>
    <i r="1">
      <x v="2"/>
    </i>
    <i r="2">
      <x v="1"/>
    </i>
    <i t="default" r="1">
      <x v="2"/>
    </i>
    <i t="blank" r="1">
      <x v="2"/>
    </i>
    <i r="1">
      <x v="3"/>
    </i>
    <i r="2">
      <x v="1"/>
    </i>
    <i t="default" r="1">
      <x v="3"/>
    </i>
    <i t="blank" r="1">
      <x v="3"/>
    </i>
    <i r="1">
      <x v="4"/>
    </i>
    <i r="2">
      <x v="1"/>
    </i>
    <i t="default" r="1">
      <x v="4"/>
    </i>
    <i t="blank" r="1">
      <x v="4"/>
    </i>
    <i r="1">
      <x v="5"/>
    </i>
    <i r="2">
      <x v="1"/>
    </i>
    <i r="2">
      <x v="2"/>
    </i>
    <i t="default" r="1">
      <x v="5"/>
    </i>
    <i t="blank" r="1">
      <x v="5"/>
    </i>
    <i r="1">
      <x v="6"/>
    </i>
    <i r="2">
      <x v="1"/>
    </i>
    <i t="default" r="1">
      <x v="6"/>
    </i>
    <i t="blank" r="1">
      <x v="6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>
      <x v="3"/>
    </i>
    <i r="1">
      <x v="1"/>
    </i>
    <i r="2">
      <x v="1"/>
    </i>
    <i r="2">
      <x v="2"/>
    </i>
    <i t="default" r="1">
      <x v="1"/>
    </i>
    <i t="blank" r="1">
      <x v="1"/>
    </i>
    <i r="1">
      <x v="2"/>
    </i>
    <i r="2">
      <x v="1"/>
    </i>
    <i r="2">
      <x v="2"/>
    </i>
    <i t="default" r="1">
      <x v="2"/>
    </i>
    <i t="blank" r="1">
      <x v="2"/>
    </i>
    <i r="1">
      <x v="3"/>
    </i>
    <i r="2">
      <x v="1"/>
    </i>
    <i r="2">
      <x v="2"/>
    </i>
    <i t="default" r="1">
      <x v="3"/>
    </i>
    <i t="blank" r="1">
      <x v="3"/>
    </i>
    <i r="1">
      <x v="4"/>
    </i>
    <i r="2">
      <x v="1"/>
    </i>
    <i r="2">
      <x v="2"/>
    </i>
    <i t="default" r="1">
      <x v="4"/>
    </i>
    <i t="blank" r="1">
      <x v="4"/>
    </i>
    <i r="1">
      <x v="5"/>
    </i>
    <i r="2">
      <x v="1"/>
    </i>
    <i r="2">
      <x v="2"/>
    </i>
    <i t="default" r="1">
      <x v="5"/>
    </i>
    <i t="blank" r="1">
      <x v="5"/>
    </i>
    <i r="1">
      <x v="6"/>
    </i>
    <i r="2">
      <x v="1"/>
    </i>
    <i r="2">
      <x v="2"/>
    </i>
    <i t="default" r="1">
      <x v="6"/>
    </i>
    <i t="blank" r="1">
      <x v="6"/>
    </i>
    <i r="1">
      <x v="7"/>
    </i>
    <i r="2">
      <x v="1"/>
    </i>
    <i r="2">
      <x v="2"/>
    </i>
    <i t="default" r="1">
      <x v="7"/>
    </i>
    <i t="blank" r="1">
      <x v="7"/>
    </i>
    <i r="1">
      <x v="8"/>
    </i>
    <i r="2">
      <x v="1"/>
    </i>
    <i r="2">
      <x v="2"/>
    </i>
    <i t="default" r="1">
      <x v="8"/>
    </i>
    <i t="blank" r="1">
      <x v="8"/>
    </i>
    <i r="1">
      <x v="9"/>
    </i>
    <i r="2">
      <x v="1"/>
    </i>
    <i r="2">
      <x v="2"/>
    </i>
    <i t="default" r="1">
      <x v="9"/>
    </i>
    <i t="blank" r="1">
      <x v="9"/>
    </i>
    <i r="1">
      <x v="10"/>
    </i>
    <i r="2">
      <x v="1"/>
    </i>
    <i r="2">
      <x v="2"/>
    </i>
    <i t="default" r="1">
      <x v="10"/>
    </i>
    <i t="blank" r="1">
      <x v="10"/>
    </i>
    <i r="1">
      <x v="11"/>
    </i>
    <i r="2">
      <x v="1"/>
    </i>
    <i r="2">
      <x v="2"/>
    </i>
    <i t="default" r="1">
      <x v="11"/>
    </i>
    <i t="blank" r="1">
      <x v="11"/>
    </i>
    <i r="1">
      <x v="12"/>
    </i>
    <i r="2">
      <x v="1"/>
    </i>
    <i r="2">
      <x v="2"/>
    </i>
    <i t="default" r="1">
      <x v="12"/>
    </i>
    <i t="blank" r="1">
      <x v="12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1" baseField="15" baseItem="1"/>
    <dataField name="%" fld="11" baseField="9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formats count="220">
    <format dxfId="17312">
      <pivotArea field="-2" type="button" dataOnly="0" labelOnly="1" outline="0" axis="axisCol" fieldPosition="1"/>
    </format>
    <format dxfId="17313">
      <pivotArea dataOnly="0" labelOnly="1" fieldPosition="0">
        <references count="1">
          <reference field="8" count="1">
            <x v="0"/>
          </reference>
        </references>
      </pivotArea>
    </format>
    <format dxfId="17314">
      <pivotArea dataOnly="0" labelOnly="1" fieldPosition="0">
        <references count="1">
          <reference field="8" count="1">
            <x v="0"/>
          </reference>
        </references>
      </pivotArea>
    </format>
    <format dxfId="17315">
      <pivotArea dataOnly="0" labelOnly="1" fieldPosition="0">
        <references count="1">
          <reference field="8" count="1">
            <x v="0"/>
          </reference>
        </references>
      </pivotArea>
    </format>
    <format dxfId="17316">
      <pivotArea dataOnly="0" labelOnly="1" fieldPosition="0">
        <references count="1">
          <reference field="8" count="1">
            <x v="0"/>
          </reference>
        </references>
      </pivotArea>
    </format>
    <format dxfId="17317">
      <pivotArea dataOnly="0" labelOnly="1" fieldPosition="0">
        <references count="1">
          <reference field="8" count="1">
            <x v="2"/>
          </reference>
        </references>
      </pivotArea>
    </format>
    <format dxfId="17318">
      <pivotArea dataOnly="0" labelOnly="1" fieldPosition="0">
        <references count="1">
          <reference field="8" count="1">
            <x v="2"/>
          </reference>
        </references>
      </pivotArea>
    </format>
    <format dxfId="17319">
      <pivotArea dataOnly="0" labelOnly="1" fieldPosition="0">
        <references count="1">
          <reference field="8" count="1">
            <x v="2"/>
          </reference>
        </references>
      </pivotArea>
    </format>
    <format dxfId="17320">
      <pivotArea dataOnly="0" labelOnly="1" fieldPosition="0">
        <references count="1">
          <reference field="8" count="1">
            <x v="3"/>
          </reference>
        </references>
      </pivotArea>
    </format>
    <format dxfId="17321">
      <pivotArea dataOnly="0" labelOnly="1" fieldPosition="0">
        <references count="1">
          <reference field="8" count="1">
            <x v="0"/>
          </reference>
        </references>
      </pivotArea>
    </format>
    <format dxfId="17322">
      <pivotArea dataOnly="0" labelOnly="1" fieldPosition="0">
        <references count="1">
          <reference field="8" count="1">
            <x v="1"/>
          </reference>
        </references>
      </pivotArea>
    </format>
    <format dxfId="17323">
      <pivotArea dataOnly="0" labelOnly="1" fieldPosition="0">
        <references count="1">
          <reference field="8" count="1">
            <x v="1"/>
          </reference>
        </references>
      </pivotArea>
    </format>
    <format dxfId="17324">
      <pivotArea dataOnly="0" labelOnly="1" fieldPosition="0">
        <references count="1">
          <reference field="8" count="1">
            <x v="0"/>
          </reference>
        </references>
      </pivotArea>
    </format>
    <format dxfId="17325">
      <pivotArea type="all" dataOnly="0" outline="0" fieldPosition="0"/>
    </format>
    <format dxfId="17326">
      <pivotArea outline="0" collapsedLevelsAreSubtotals="1" fieldPosition="0"/>
    </format>
    <format dxfId="17327">
      <pivotArea type="origin" dataOnly="0" labelOnly="1" outline="0" fieldPosition="0"/>
    </format>
    <format dxfId="17328">
      <pivotArea field="8" type="button" dataOnly="0" labelOnly="1" outline="0" axis="axisCol" fieldPosition="0"/>
    </format>
    <format dxfId="17329">
      <pivotArea field="-2" type="button" dataOnly="0" labelOnly="1" outline="0" axis="axisCol" fieldPosition="1"/>
    </format>
    <format dxfId="17330">
      <pivotArea type="topRight" dataOnly="0" labelOnly="1" outline="0" fieldPosition="0"/>
    </format>
    <format dxfId="17331">
      <pivotArea dataOnly="0" labelOnly="1" grandRow="1" outline="0" fieldPosition="0"/>
    </format>
    <format dxfId="17332">
      <pivotArea dataOnly="0" labelOnly="1" fieldPosition="0">
        <references count="1">
          <reference field="8" count="0"/>
        </references>
      </pivotArea>
    </format>
    <format dxfId="17333">
      <pivotArea type="all" dataOnly="0" outline="0" fieldPosition="0"/>
    </format>
    <format dxfId="17334">
      <pivotArea outline="0" collapsedLevelsAreSubtotals="1" fieldPosition="0"/>
    </format>
    <format dxfId="17335">
      <pivotArea type="origin" dataOnly="0" labelOnly="1" outline="0" fieldPosition="0"/>
    </format>
    <format dxfId="17336">
      <pivotArea field="8" type="button" dataOnly="0" labelOnly="1" outline="0" axis="axisCol" fieldPosition="0"/>
    </format>
    <format dxfId="17337">
      <pivotArea field="-2" type="button" dataOnly="0" labelOnly="1" outline="0" axis="axisCol" fieldPosition="1"/>
    </format>
    <format dxfId="17338">
      <pivotArea type="topRight" dataOnly="0" labelOnly="1" outline="0" fieldPosition="0"/>
    </format>
    <format dxfId="17339">
      <pivotArea dataOnly="0" labelOnly="1" grandRow="1" outline="0" fieldPosition="0"/>
    </format>
    <format dxfId="17340">
      <pivotArea dataOnly="0" labelOnly="1" fieldPosition="0">
        <references count="1">
          <reference field="8" count="0"/>
        </references>
      </pivotArea>
    </format>
    <format dxfId="17341">
      <pivotArea type="all" dataOnly="0" outline="0" fieldPosition="0"/>
    </format>
    <format dxfId="17342">
      <pivotArea outline="0" collapsedLevelsAreSubtotals="1" fieldPosition="0"/>
    </format>
    <format dxfId="17343">
      <pivotArea type="origin" dataOnly="0" labelOnly="1" outline="0" fieldPosition="0"/>
    </format>
    <format dxfId="17344">
      <pivotArea field="8" type="button" dataOnly="0" labelOnly="1" outline="0" axis="axisCol" fieldPosition="0"/>
    </format>
    <format dxfId="17345">
      <pivotArea field="-2" type="button" dataOnly="0" labelOnly="1" outline="0" axis="axisCol" fieldPosition="1"/>
    </format>
    <format dxfId="17346">
      <pivotArea type="topRight" dataOnly="0" labelOnly="1" outline="0" fieldPosition="0"/>
    </format>
    <format dxfId="17347">
      <pivotArea dataOnly="0" labelOnly="1" grandRow="1" outline="0" fieldPosition="0"/>
    </format>
    <format dxfId="17348">
      <pivotArea dataOnly="0" labelOnly="1" fieldPosition="0">
        <references count="1">
          <reference field="8" count="0"/>
        </references>
      </pivotArea>
    </format>
    <format dxfId="17349">
      <pivotArea type="origin" dataOnly="0" labelOnly="1" outline="0" fieldPosition="0"/>
    </format>
    <format dxfId="17350">
      <pivotArea field="8" type="button" dataOnly="0" labelOnly="1" outline="0" axis="axisCol" fieldPosition="0"/>
    </format>
    <format dxfId="17351">
      <pivotArea field="-2" type="button" dataOnly="0" labelOnly="1" outline="0" axis="axisCol" fieldPosition="1"/>
    </format>
    <format dxfId="17352">
      <pivotArea type="all" dataOnly="0" outline="0" fieldPosition="0"/>
    </format>
    <format dxfId="17353">
      <pivotArea outline="0" collapsedLevelsAreSubtotals="1" fieldPosition="0"/>
    </format>
    <format dxfId="17354">
      <pivotArea type="origin" dataOnly="0" labelOnly="1" outline="0" fieldPosition="0"/>
    </format>
    <format dxfId="17355">
      <pivotArea field="8" type="button" dataOnly="0" labelOnly="1" outline="0" axis="axisCol" fieldPosition="0"/>
    </format>
    <format dxfId="17356">
      <pivotArea field="-2" type="button" dataOnly="0" labelOnly="1" outline="0" axis="axisCol" fieldPosition="1"/>
    </format>
    <format dxfId="17357">
      <pivotArea type="topRight" dataOnly="0" labelOnly="1" outline="0" fieldPosition="0"/>
    </format>
    <format dxfId="17358">
      <pivotArea dataOnly="0" labelOnly="1" grandRow="1" outline="0" fieldPosition="0"/>
    </format>
    <format dxfId="17359">
      <pivotArea dataOnly="0" labelOnly="1" fieldPosition="0">
        <references count="1">
          <reference field="8" count="0"/>
        </references>
      </pivotArea>
    </format>
    <format dxfId="17360">
      <pivotArea type="origin" dataOnly="0" labelOnly="1" outline="0" fieldPosition="0"/>
    </format>
    <format dxfId="17361">
      <pivotArea field="8" type="button" dataOnly="0" labelOnly="1" outline="0" axis="axisCol" fieldPosition="0"/>
    </format>
    <format dxfId="17362">
      <pivotArea field="-2" type="button" dataOnly="0" labelOnly="1" outline="0" axis="axisCol" fieldPosition="1"/>
    </format>
    <format dxfId="17363">
      <pivotArea type="topRight" dataOnly="0" labelOnly="1" outline="0" offset="A1:G1" fieldPosition="0"/>
    </format>
    <format dxfId="17364">
      <pivotArea dataOnly="0" labelOnly="1" fieldPosition="0">
        <references count="1">
          <reference field="8" count="0"/>
        </references>
      </pivotArea>
    </format>
    <format dxfId="17365">
      <pivotArea field="1" type="button" dataOnly="0" labelOnly="1" outline="0"/>
    </format>
    <format dxfId="17366">
      <pivotArea outline="0" fieldPosition="0">
        <references count="1">
          <reference field="4294967294" count="1">
            <x v="1"/>
          </reference>
        </references>
      </pivotArea>
    </format>
    <format dxfId="1736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36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36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37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37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37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37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37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37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37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377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7378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379">
      <pivotArea field="8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8" count="0" selected="0"/>
        </references>
      </pivotArea>
    </format>
    <format dxfId="17380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381">
      <pivotArea dataOnly="0" labelOnly="1" grandRow="1" outline="0" fieldPosition="0"/>
    </format>
    <format dxfId="17382">
      <pivotArea field="8" grandRow="1" outline="0" collapsedLevelsAreSubtotals="1" axis="axisCol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17383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384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385">
      <pivotArea field="-2" type="button" dataOnly="0" labelOnly="1" outline="0" axis="axisCol" fieldPosition="1"/>
    </format>
    <format dxfId="17386">
      <pivotArea dataOnly="0" labelOnly="1" fieldPosition="0">
        <references count="1">
          <reference field="8" count="1">
            <x v="0"/>
          </reference>
        </references>
      </pivotArea>
    </format>
    <format dxfId="17387">
      <pivotArea dataOnly="0" labelOnly="1" outline="0" fieldPosition="0">
        <references count="2">
          <reference field="4294967294" count="1">
            <x v="1"/>
          </reference>
          <reference field="8" count="1" selected="0">
            <x v="0"/>
          </reference>
        </references>
      </pivotArea>
    </format>
    <format dxfId="17388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389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390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391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392">
      <pivotArea collapsedLevelsAreSubtotals="1" fieldPosition="0">
        <references count="2">
          <reference field="13" count="1">
            <x v="7"/>
          </reference>
          <reference field="15" count="1" selected="0">
            <x v="1"/>
          </reference>
        </references>
      </pivotArea>
    </format>
    <format dxfId="17393">
      <pivotArea dataOnly="0" labelOnly="1" fieldPosition="0">
        <references count="2">
          <reference field="13" count="1">
            <x v="7"/>
          </reference>
          <reference field="15" count="1" selected="0">
            <x v="1"/>
          </reference>
        </references>
      </pivotArea>
    </format>
    <format dxfId="17394">
      <pivotArea collapsedLevelsAreSubtotals="1" fieldPosition="0">
        <references count="2"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395">
      <pivotArea dataOnly="0" labelOnly="1" fieldPosition="0">
        <references count="2"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396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7397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7398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7399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7400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7401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7402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7403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7404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7405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7406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7407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7408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7409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7410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7411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7412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7413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7414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7415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7416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1741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7"/>
          </reference>
          <reference field="15" count="1" selected="0">
            <x v="1"/>
          </reference>
        </references>
      </pivotArea>
    </format>
    <format dxfId="17418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8"/>
          </reference>
          <reference field="15" count="1" selected="0">
            <x v="1"/>
          </reference>
        </references>
      </pivotArea>
    </format>
    <format dxfId="17419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17420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8"/>
          </reference>
          <reference field="15" count="1" selected="0">
            <x v="1"/>
          </reference>
        </references>
      </pivotArea>
    </format>
    <format dxfId="17421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9"/>
          </reference>
          <reference field="15" count="1" selected="0">
            <x v="1"/>
          </reference>
        </references>
      </pivotArea>
    </format>
    <format dxfId="17422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1742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9"/>
          </reference>
          <reference field="15" count="1" selected="0">
            <x v="1"/>
          </reference>
        </references>
      </pivotArea>
    </format>
    <format dxfId="1742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0"/>
          </reference>
          <reference field="15" count="1" selected="0">
            <x v="1"/>
          </reference>
        </references>
      </pivotArea>
    </format>
    <format dxfId="17425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1742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0"/>
          </reference>
          <reference field="15" count="1" selected="0">
            <x v="1"/>
          </reference>
        </references>
      </pivotArea>
    </format>
    <format dxfId="1742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1"/>
          </reference>
          <reference field="15" count="1" selected="0">
            <x v="1"/>
          </reference>
        </references>
      </pivotArea>
    </format>
    <format dxfId="17428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1742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1"/>
          </reference>
          <reference field="15" count="1" selected="0">
            <x v="1"/>
          </reference>
        </references>
      </pivotArea>
    </format>
    <format dxfId="17430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2"/>
          </reference>
          <reference field="15" count="1" selected="0">
            <x v="1"/>
          </reference>
        </references>
      </pivotArea>
    </format>
    <format dxfId="17431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17432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2"/>
          </reference>
          <reference field="15" count="1" selected="0">
            <x v="1"/>
          </reference>
        </references>
      </pivotArea>
    </format>
    <format dxfId="17433">
      <pivotArea field="15" grandCol="1" collapsedLevelsAreSubtotals="1" axis="axisRow" fieldPosition="0">
        <references count="2">
          <reference field="4294967294" count="1" selected="0">
            <x v="0"/>
          </reference>
          <reference field="15" count="1">
            <x v="2"/>
          </reference>
        </references>
      </pivotArea>
    </format>
    <format dxfId="1743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"/>
          </reference>
          <reference field="15" count="1" selected="0">
            <x v="2"/>
          </reference>
        </references>
      </pivotArea>
    </format>
    <format dxfId="17435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743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"/>
          </reference>
          <reference field="15" count="1" selected="0">
            <x v="2"/>
          </reference>
        </references>
      </pivotArea>
    </format>
    <format dxfId="1743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2"/>
          </reference>
          <reference field="15" count="1" selected="0">
            <x v="2"/>
          </reference>
        </references>
      </pivotArea>
    </format>
    <format dxfId="17438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1"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743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2"/>
          </reference>
          <reference field="15" count="1" selected="0">
            <x v="2"/>
          </reference>
        </references>
      </pivotArea>
    </format>
    <format dxfId="17440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3"/>
          </reference>
          <reference field="15" count="1" selected="0">
            <x v="2"/>
          </reference>
        </references>
      </pivotArea>
    </format>
    <format dxfId="17441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1"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17442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3"/>
          </reference>
          <reference field="15" count="1" selected="0">
            <x v="2"/>
          </reference>
        </references>
      </pivotArea>
    </format>
    <format dxfId="1744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4"/>
          </reference>
          <reference field="15" count="1" selected="0">
            <x v="2"/>
          </reference>
        </references>
      </pivotArea>
    </format>
    <format dxfId="17444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1">
            <x v="1"/>
          </reference>
          <reference field="13" count="1" selected="0">
            <x v="4"/>
          </reference>
          <reference field="15" count="1" selected="0">
            <x v="2"/>
          </reference>
        </references>
      </pivotArea>
    </format>
    <format dxfId="17445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4"/>
          </reference>
          <reference field="15" count="1" selected="0">
            <x v="2"/>
          </reference>
        </references>
      </pivotArea>
    </format>
    <format dxfId="1744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5"/>
          </reference>
          <reference field="15" count="1" selected="0">
            <x v="2"/>
          </reference>
        </references>
      </pivotArea>
    </format>
    <format dxfId="17447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5"/>
          </reference>
          <reference field="15" count="1" selected="0">
            <x v="2"/>
          </reference>
        </references>
      </pivotArea>
    </format>
    <format dxfId="17448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5"/>
          </reference>
          <reference field="15" count="1" selected="0">
            <x v="2"/>
          </reference>
        </references>
      </pivotArea>
    </format>
    <format dxfId="1744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6"/>
          </reference>
          <reference field="15" count="1" selected="0">
            <x v="2"/>
          </reference>
        </references>
      </pivotArea>
    </format>
    <format dxfId="17450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1">
            <x v="1"/>
          </reference>
          <reference field="13" count="1" selected="0">
            <x v="6"/>
          </reference>
          <reference field="15" count="1" selected="0">
            <x v="2"/>
          </reference>
        </references>
      </pivotArea>
    </format>
    <format dxfId="17451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6"/>
          </reference>
          <reference field="15" count="1" selected="0">
            <x v="2"/>
          </reference>
        </references>
      </pivotArea>
    </format>
    <format dxfId="17452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7"/>
          </reference>
          <reference field="15" count="1" selected="0">
            <x v="2"/>
          </reference>
        </references>
      </pivotArea>
    </format>
    <format dxfId="17453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7"/>
          </reference>
          <reference field="15" count="1" selected="0">
            <x v="2"/>
          </reference>
        </references>
      </pivotArea>
    </format>
    <format dxfId="1745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7"/>
          </reference>
          <reference field="15" count="1" selected="0">
            <x v="2"/>
          </reference>
        </references>
      </pivotArea>
    </format>
    <format dxfId="17455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8"/>
          </reference>
          <reference field="15" count="1" selected="0">
            <x v="2"/>
          </reference>
        </references>
      </pivotArea>
    </format>
    <format dxfId="17456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8"/>
          </reference>
          <reference field="15" count="1" selected="0">
            <x v="2"/>
          </reference>
        </references>
      </pivotArea>
    </format>
    <format dxfId="1745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8"/>
          </reference>
          <reference field="15" count="1" selected="0">
            <x v="2"/>
          </reference>
        </references>
      </pivotArea>
    </format>
    <format dxfId="17458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9"/>
          </reference>
          <reference field="15" count="1" selected="0">
            <x v="2"/>
          </reference>
        </references>
      </pivotArea>
    </format>
    <format dxfId="17459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9"/>
          </reference>
          <reference field="15" count="1" selected="0">
            <x v="2"/>
          </reference>
        </references>
      </pivotArea>
    </format>
    <format dxfId="17460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9"/>
          </reference>
          <reference field="15" count="1" selected="0">
            <x v="2"/>
          </reference>
        </references>
      </pivotArea>
    </format>
    <format dxfId="17461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0"/>
          </reference>
          <reference field="15" count="1" selected="0">
            <x v="2"/>
          </reference>
        </references>
      </pivotArea>
    </format>
    <format dxfId="17462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0"/>
          </reference>
          <reference field="15" count="1" selected="0">
            <x v="2"/>
          </reference>
        </references>
      </pivotArea>
    </format>
    <format dxfId="1746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0"/>
          </reference>
          <reference field="15" count="1" selected="0">
            <x v="2"/>
          </reference>
        </references>
      </pivotArea>
    </format>
    <format dxfId="1746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1"/>
          </reference>
          <reference field="15" count="1" selected="0">
            <x v="2"/>
          </reference>
        </references>
      </pivotArea>
    </format>
    <format dxfId="17465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2"/>
          </reference>
        </references>
      </pivotArea>
    </format>
    <format dxfId="1746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1"/>
          </reference>
          <reference field="15" count="1" selected="0">
            <x v="2"/>
          </reference>
        </references>
      </pivotArea>
    </format>
    <format dxfId="1746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2"/>
          </reference>
          <reference field="15" count="1" selected="0">
            <x v="2"/>
          </reference>
        </references>
      </pivotArea>
    </format>
    <format dxfId="17468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2"/>
          </reference>
        </references>
      </pivotArea>
    </format>
    <format dxfId="1746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2"/>
          </reference>
          <reference field="15" count="1" selected="0">
            <x v="2"/>
          </reference>
        </references>
      </pivotArea>
    </format>
    <format dxfId="17470">
      <pivotArea field="15" grandCol="1" collapsedLevelsAreSubtotals="1" axis="axisRow" fieldPosition="0">
        <references count="2">
          <reference field="4294967294" count="1" selected="0">
            <x v="0"/>
          </reference>
          <reference field="15" count="1">
            <x v="3"/>
          </reference>
        </references>
      </pivotArea>
    </format>
    <format dxfId="17471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"/>
          </reference>
          <reference field="15" count="1" selected="0">
            <x v="3"/>
          </reference>
        </references>
      </pivotArea>
    </format>
    <format dxfId="17472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"/>
          </reference>
          <reference field="15" count="1" selected="0">
            <x v="3"/>
          </reference>
        </references>
      </pivotArea>
    </format>
    <format dxfId="1747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"/>
          </reference>
          <reference field="15" count="1" selected="0">
            <x v="3"/>
          </reference>
        </references>
      </pivotArea>
    </format>
    <format dxfId="1747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2"/>
          </reference>
          <reference field="15" count="1" selected="0">
            <x v="3"/>
          </reference>
        </references>
      </pivotArea>
    </format>
    <format dxfId="17475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2"/>
          </reference>
          <reference field="15" count="1" selected="0">
            <x v="3"/>
          </reference>
        </references>
      </pivotArea>
    </format>
    <format dxfId="1747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2"/>
          </reference>
          <reference field="15" count="1" selected="0">
            <x v="3"/>
          </reference>
        </references>
      </pivotArea>
    </format>
    <format dxfId="1747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3"/>
          </reference>
          <reference field="15" count="1" selected="0">
            <x v="3"/>
          </reference>
        </references>
      </pivotArea>
    </format>
    <format dxfId="17478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3"/>
          </reference>
          <reference field="15" count="1" selected="0">
            <x v="3"/>
          </reference>
        </references>
      </pivotArea>
    </format>
    <format dxfId="1747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3"/>
          </reference>
          <reference field="15" count="1" selected="0">
            <x v="3"/>
          </reference>
        </references>
      </pivotArea>
    </format>
    <format dxfId="17480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4"/>
          </reference>
          <reference field="15" count="1" selected="0">
            <x v="3"/>
          </reference>
        </references>
      </pivotArea>
    </format>
    <format dxfId="17481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4"/>
          </reference>
          <reference field="15" count="1" selected="0">
            <x v="3"/>
          </reference>
        </references>
      </pivotArea>
    </format>
    <format dxfId="17482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4"/>
          </reference>
          <reference field="15" count="1" selected="0">
            <x v="3"/>
          </reference>
        </references>
      </pivotArea>
    </format>
    <format dxfId="1748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5"/>
          </reference>
          <reference field="15" count="1" selected="0">
            <x v="3"/>
          </reference>
        </references>
      </pivotArea>
    </format>
    <format dxfId="17484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5"/>
          </reference>
          <reference field="15" count="1" selected="0">
            <x v="3"/>
          </reference>
        </references>
      </pivotArea>
    </format>
    <format dxfId="17485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5"/>
          </reference>
          <reference field="15" count="1" selected="0">
            <x v="3"/>
          </reference>
        </references>
      </pivotArea>
    </format>
    <format dxfId="1748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6"/>
          </reference>
          <reference field="15" count="1" selected="0">
            <x v="3"/>
          </reference>
        </references>
      </pivotArea>
    </format>
    <format dxfId="17487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6"/>
          </reference>
          <reference field="15" count="1" selected="0">
            <x v="3"/>
          </reference>
        </references>
      </pivotArea>
    </format>
    <format dxfId="17488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6"/>
          </reference>
          <reference field="15" count="1" selected="0">
            <x v="3"/>
          </reference>
        </references>
      </pivotArea>
    </format>
    <format dxfId="17489">
      <pivotArea field="15" type="button" dataOnly="0" labelOnly="1" outline="0" axis="axisRow" fieldPosition="0"/>
    </format>
    <format dxfId="17490">
      <pivotArea type="origin" dataOnly="0" labelOnly="1" outline="0" fieldPosition="0"/>
    </format>
    <format dxfId="17491">
      <pivotArea field="8" type="button" dataOnly="0" labelOnly="1" outline="0" axis="axisCol" fieldPosition="0"/>
    </format>
    <format dxfId="17492">
      <pivotArea field="-2" type="button" dataOnly="0" labelOnly="1" outline="0" axis="axisCol" fieldPosition="1"/>
    </format>
    <format dxfId="17493">
      <pivotArea type="topRight" dataOnly="0" labelOnly="1" outline="0" offset="A1:I1" fieldPosition="0"/>
    </format>
    <format dxfId="17494">
      <pivotArea field="15" type="button" dataOnly="0" labelOnly="1" outline="0" axis="axisRow" fieldPosition="0"/>
    </format>
    <format dxfId="17495">
      <pivotArea dataOnly="0" labelOnly="1" fieldPosition="0">
        <references count="1">
          <reference field="8" count="0"/>
        </references>
      </pivotArea>
    </format>
    <format dxfId="1749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497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49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49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50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50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50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503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7"/>
          </reference>
          <reference field="15" count="1" selected="0">
            <x v="3"/>
          </reference>
        </references>
      </pivotArea>
    </format>
    <format dxfId="17504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8"/>
          </reference>
          <reference field="15" count="1" selected="0">
            <x v="3"/>
          </reference>
        </references>
      </pivotArea>
    </format>
    <format dxfId="17505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1"/>
          </reference>
          <reference field="13" count="1" defaultSubtotal="1">
            <x v="9"/>
          </reference>
          <reference field="15" count="1" selected="0">
            <x v="3"/>
          </reference>
        </references>
      </pivotArea>
    </format>
    <format dxfId="17506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9" count="1">
            <x v="1"/>
          </reference>
          <reference field="13" count="1" selected="0">
            <x v="9"/>
          </reference>
          <reference field="15" count="1" selected="0">
            <x v="3"/>
          </reference>
        </references>
      </pivotArea>
    </format>
    <format dxfId="17507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7"/>
          </reference>
          <reference field="15" count="1" selected="0">
            <x v="3"/>
          </reference>
        </references>
      </pivotArea>
    </format>
    <format dxfId="17508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8"/>
          </reference>
          <reference field="15" count="1" selected="0">
            <x v="3"/>
          </reference>
        </references>
      </pivotArea>
    </format>
    <format dxfId="17509">
      <pivotArea field="8" grandRow="1" outline="0" collapsedLevelsAreSubtotals="1" axis="axisCol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format>
    <format dxfId="17510">
      <pivotArea field="8" grandRow="1" outline="0" collapsedLevelsAreSubtotals="1" axis="axisCol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format>
    <format dxfId="17511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7"/>
          </reference>
          <reference field="15" count="1" selected="0">
            <x v="3"/>
          </reference>
        </references>
      </pivotArea>
    </format>
    <format dxfId="17512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7"/>
          </reference>
          <reference field="15" count="1" selected="0">
            <x v="3"/>
          </reference>
        </references>
      </pivotArea>
    </format>
    <format dxfId="17513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8"/>
          </reference>
          <reference field="15" count="1" selected="0">
            <x v="3"/>
          </reference>
        </references>
      </pivotArea>
    </format>
    <format dxfId="17514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8"/>
          </reference>
          <reference field="15" count="1" selected="0">
            <x v="3"/>
          </reference>
        </references>
      </pivotArea>
    </format>
    <format dxfId="17515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8"/>
          </reference>
          <reference field="15" count="1" selected="0">
            <x v="3"/>
          </reference>
        </references>
      </pivotArea>
    </format>
    <format dxfId="1751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9"/>
          </reference>
          <reference field="15" count="1" selected="0">
            <x v="3"/>
          </reference>
        </references>
      </pivotArea>
    </format>
    <format dxfId="17517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9"/>
          </reference>
          <reference field="15" count="1" selected="0">
            <x v="3"/>
          </reference>
        </references>
      </pivotArea>
    </format>
    <format dxfId="17518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9"/>
          </reference>
          <reference field="15" count="1" selected="0">
            <x v="3"/>
          </reference>
        </references>
      </pivotArea>
    </format>
    <format dxfId="15924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1">
            <x v="1"/>
          </reference>
          <reference field="13" count="1" selected="0">
            <x v="10"/>
          </reference>
          <reference field="15" count="1" selected="0">
            <x v="3"/>
          </reference>
        </references>
      </pivotArea>
    </format>
    <format dxfId="15923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10"/>
          </reference>
          <reference field="15" count="1" selected="0">
            <x v="3"/>
          </reference>
        </references>
      </pivotArea>
    </format>
    <format dxfId="15922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9" count="0"/>
          <reference field="13" count="1" selected="0">
            <x v="10"/>
          </reference>
          <reference field="15" count="1" selected="0">
            <x v="3"/>
          </reference>
        </references>
      </pivotArea>
    </format>
    <format dxfId="15921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1"/>
          </reference>
          <reference field="13" count="1" defaultSubtotal="1">
            <x v="10"/>
          </reference>
          <reference field="15" count="1" selected="0">
            <x v="3"/>
          </reference>
        </references>
      </pivotArea>
    </format>
    <format dxfId="15920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0"/>
          </reference>
          <reference field="15" count="1" selected="0">
            <x v="3"/>
          </reference>
        </references>
      </pivotArea>
    </format>
    <format dxfId="15919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0"/>
          </reference>
          <reference field="15" count="1" selected="0">
            <x v="3"/>
          </reference>
        </references>
      </pivotArea>
    </format>
    <format dxfId="15918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1"/>
          </reference>
          <reference field="15" count="1" selected="0">
            <x v="3"/>
          </reference>
        </references>
      </pivotArea>
    </format>
    <format dxfId="15917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1"/>
          </reference>
          <reference field="15" count="1" selected="0">
            <x v="3"/>
          </reference>
        </references>
      </pivotArea>
    </format>
    <format dxfId="15916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>
            <x v="12"/>
          </reference>
          <reference field="15" count="1" selected="0">
            <x v="3"/>
          </reference>
        </references>
      </pivotArea>
    </format>
    <format dxfId="15915">
      <pivotArea field="15" grandCol="1" collapsedLevelsAreSubtotals="1" axis="axisRow" fieldPosition="0">
        <references count="4">
          <reference field="4294967294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3"/>
          </reference>
        </references>
      </pivotArea>
    </format>
    <format dxfId="15914">
      <pivotArea field="15" grandCol="1" collapsedLevelsAreSubtotals="1" axis="axisRow" fieldPosition="0">
        <references count="3">
          <reference field="4294967294" count="1" selected="0">
            <x v="0"/>
          </reference>
          <reference field="13" count="1" defaultSubtotal="1">
            <x v="12"/>
          </reference>
          <reference field="15" count="1" selected="0">
            <x v="3"/>
          </reference>
        </references>
      </pivotArea>
    </format>
    <format dxfId="15913">
      <pivotArea collapsedLevelsAreSubtotals="1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9" count="0"/>
          <reference field="13" count="1" selected="0">
            <x v="12"/>
          </reference>
          <reference field="15" count="1" selected="0">
            <x v="3"/>
          </reference>
        </references>
      </pivotArea>
    </format>
    <format dxfId="15912">
      <pivotArea collapsedLevelsAreSubtotals="1" fieldPosition="0">
        <references count="4">
          <reference field="4294967294" count="1" selected="0">
            <x v="0"/>
          </reference>
          <reference field="8" count="1" selected="0">
            <x v="0"/>
          </reference>
          <reference field="13" count="1" defaultSubtotal="1">
            <x v="12"/>
          </reference>
          <reference field="15" count="1" selected="0">
            <x v="3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FDA57-73BC-48AD-888F-931ED74FD260}" name="PivotTable2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37:M63" firstHeaderRow="1" firstDataRow="3" firstDataCol="1" rowPageCount="2" colPageCount="1"/>
  <pivotFields count="16">
    <pivotField axis="axisRow" subtotalTop="0" showAll="0" insertBlankRow="1" sortType="ascending">
      <items count="41">
        <item x="7"/>
        <item x="17"/>
        <item x="31"/>
        <item m="1" x="38"/>
        <item x="12"/>
        <item x="3"/>
        <item x="25"/>
        <item x="15"/>
        <item x="13"/>
        <item x="0"/>
        <item x="37"/>
        <item x="9"/>
        <item x="19"/>
        <item x="1"/>
        <item x="26"/>
        <item x="18"/>
        <item x="10"/>
        <item x="20"/>
        <item x="6"/>
        <item x="35"/>
        <item x="23"/>
        <item x="8"/>
        <item x="28"/>
        <item x="5"/>
        <item x="29"/>
        <item x="4"/>
        <item x="36"/>
        <item x="11"/>
        <item x="30"/>
        <item x="21"/>
        <item x="32"/>
        <item x="22"/>
        <item x="16"/>
        <item x="27"/>
        <item x="24"/>
        <item x="2"/>
        <item x="33"/>
        <item x="34"/>
        <item x="14"/>
        <item m="1" x="39"/>
        <item t="default"/>
      </items>
    </pivotField>
    <pivotField axis="axisPage" subtotalTop="0" showAll="0" insertBlankRow="1">
      <items count="4">
        <item x="0"/>
        <item x="1"/>
        <item x="2"/>
        <item t="default"/>
      </items>
    </pivotField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ubtotalTop="0" showAll="0" insertBlankRow="1">
      <items count="5">
        <item x="2"/>
        <item x="3"/>
        <item x="0"/>
        <item x="1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subtotalTop="0" showAll="0" insertBlankRow="1" sortType="descending">
      <items count="4">
        <item m="1" x="2"/>
        <item sd="0" x="0"/>
        <item sd="0" x="1"/>
        <item t="default"/>
      </items>
    </pivotField>
    <pivotField subtotalTop="0" showAll="0" insertBlankRow="1" sumSubtotal="1"/>
    <pivotField dataField="1"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4">
    <i>
      <x v="1"/>
    </i>
    <i>
      <x v="2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5"/>
    </i>
    <i>
      <x v="26"/>
    </i>
    <i>
      <x v="28"/>
    </i>
    <i>
      <x v="29"/>
    </i>
    <i>
      <x v="32"/>
    </i>
    <i>
      <x v="34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1" item="2" hier="-1"/>
    <pageField fld="3" item="3" hier="-1"/>
  </pageFields>
  <dataFields count="2">
    <dataField name="Count" fld="11" baseField="9" baseItem="0"/>
    <dataField name="%" fld="11" showDataAs="percentOfRow" baseField="9" baseItem="1" numFmtId="10"/>
  </dataFields>
  <formats count="99">
    <format dxfId="15813">
      <pivotArea dataOnly="0" labelOnly="1" fieldPosition="0">
        <references count="1">
          <reference field="8" count="1">
            <x v="0"/>
          </reference>
        </references>
      </pivotArea>
    </format>
    <format dxfId="15814">
      <pivotArea dataOnly="0" labelOnly="1" fieldPosition="0">
        <references count="1">
          <reference field="8" count="1">
            <x v="0"/>
          </reference>
        </references>
      </pivotArea>
    </format>
    <format dxfId="15815">
      <pivotArea dataOnly="0" labelOnly="1" fieldPosition="0">
        <references count="1">
          <reference field="8" count="1">
            <x v="1"/>
          </reference>
        </references>
      </pivotArea>
    </format>
    <format dxfId="15816">
      <pivotArea dataOnly="0" labelOnly="1" fieldPosition="0">
        <references count="1">
          <reference field="8" count="1">
            <x v="1"/>
          </reference>
        </references>
      </pivotArea>
    </format>
    <format dxfId="15817">
      <pivotArea dataOnly="0" labelOnly="1" fieldPosition="0">
        <references count="1">
          <reference field="8" count="1">
            <x v="2"/>
          </reference>
        </references>
      </pivotArea>
    </format>
    <format dxfId="15818">
      <pivotArea dataOnly="0" labelOnly="1" fieldPosition="0">
        <references count="1">
          <reference field="8" count="1">
            <x v="2"/>
          </reference>
        </references>
      </pivotArea>
    </format>
    <format dxfId="15819">
      <pivotArea dataOnly="0" labelOnly="1" fieldPosition="0">
        <references count="1">
          <reference field="8" count="1">
            <x v="2"/>
          </reference>
        </references>
      </pivotArea>
    </format>
    <format dxfId="15820">
      <pivotArea dataOnly="0" labelOnly="1" fieldPosition="0">
        <references count="1">
          <reference field="8" count="1">
            <x v="3"/>
          </reference>
        </references>
      </pivotArea>
    </format>
    <format dxfId="15821">
      <pivotArea dataOnly="0" labelOnly="1" fieldPosition="0">
        <references count="1">
          <reference field="8" count="1">
            <x v="0"/>
          </reference>
        </references>
      </pivotArea>
    </format>
    <format dxfId="15822">
      <pivotArea dataOnly="0" labelOnly="1" fieldPosition="0">
        <references count="1">
          <reference field="8" count="1">
            <x v="1"/>
          </reference>
        </references>
      </pivotArea>
    </format>
    <format dxfId="15823">
      <pivotArea dataOnly="0" labelOnly="1" fieldPosition="0">
        <references count="1">
          <reference field="8" count="1">
            <x v="2"/>
          </reference>
        </references>
      </pivotArea>
    </format>
    <format dxfId="15824">
      <pivotArea dataOnly="0" labelOnly="1" fieldPosition="0">
        <references count="1">
          <reference field="8" count="1">
            <x v="3"/>
          </reference>
        </references>
      </pivotArea>
    </format>
    <format dxfId="15825">
      <pivotArea dataOnly="0" labelOnly="1" fieldPosition="0">
        <references count="1">
          <reference field="8" count="0"/>
        </references>
      </pivotArea>
    </format>
    <format dxfId="15826">
      <pivotArea dataOnly="0" labelOnly="1" fieldPosition="0">
        <references count="1">
          <reference field="8" count="1">
            <x v="1"/>
          </reference>
        </references>
      </pivotArea>
    </format>
    <format dxfId="15827">
      <pivotArea dataOnly="0" labelOnly="1" fieldPosition="0">
        <references count="1">
          <reference field="8" count="1">
            <x v="0"/>
          </reference>
        </references>
      </pivotArea>
    </format>
    <format dxfId="15828">
      <pivotArea type="all" dataOnly="0" outline="0" fieldPosition="0"/>
    </format>
    <format dxfId="15829">
      <pivotArea outline="0" collapsedLevelsAreSubtotals="1" fieldPosition="0"/>
    </format>
    <format dxfId="15830">
      <pivotArea type="origin" dataOnly="0" labelOnly="1" outline="0" fieldPosition="0"/>
    </format>
    <format dxfId="15831">
      <pivotArea field="8" type="button" dataOnly="0" labelOnly="1" outline="0" axis="axisCol" fieldPosition="0"/>
    </format>
    <format dxfId="15832">
      <pivotArea field="-2" type="button" dataOnly="0" labelOnly="1" outline="0" axis="axisCol" fieldPosition="1"/>
    </format>
    <format dxfId="15833">
      <pivotArea type="topRight" dataOnly="0" labelOnly="1" outline="0" fieldPosition="0"/>
    </format>
    <format dxfId="15834">
      <pivotArea field="9" type="button" dataOnly="0" labelOnly="1" outline="0"/>
    </format>
    <format dxfId="15835">
      <pivotArea dataOnly="0" labelOnly="1" grandRow="1" outline="0" fieldPosition="0"/>
    </format>
    <format dxfId="15836">
      <pivotArea dataOnly="0" labelOnly="1" fieldPosition="0">
        <references count="1">
          <reference field="8" count="0"/>
        </references>
      </pivotArea>
    </format>
    <format dxfId="15837">
      <pivotArea type="all" dataOnly="0" outline="0" fieldPosition="0"/>
    </format>
    <format dxfId="15838">
      <pivotArea outline="0" collapsedLevelsAreSubtotals="1" fieldPosition="0"/>
    </format>
    <format dxfId="15839">
      <pivotArea type="origin" dataOnly="0" labelOnly="1" outline="0" fieldPosition="0"/>
    </format>
    <format dxfId="15840">
      <pivotArea field="8" type="button" dataOnly="0" labelOnly="1" outline="0" axis="axisCol" fieldPosition="0"/>
    </format>
    <format dxfId="15841">
      <pivotArea field="-2" type="button" dataOnly="0" labelOnly="1" outline="0" axis="axisCol" fieldPosition="1"/>
    </format>
    <format dxfId="15842">
      <pivotArea type="topRight" dataOnly="0" labelOnly="1" outline="0" fieldPosition="0"/>
    </format>
    <format dxfId="15843">
      <pivotArea field="9" type="button" dataOnly="0" labelOnly="1" outline="0"/>
    </format>
    <format dxfId="15844">
      <pivotArea dataOnly="0" labelOnly="1" grandRow="1" outline="0" fieldPosition="0"/>
    </format>
    <format dxfId="15845">
      <pivotArea dataOnly="0" labelOnly="1" fieldPosition="0">
        <references count="1">
          <reference field="8" count="0"/>
        </references>
      </pivotArea>
    </format>
    <format dxfId="15846">
      <pivotArea type="all" dataOnly="0" outline="0" fieldPosition="0"/>
    </format>
    <format dxfId="15847">
      <pivotArea outline="0" collapsedLevelsAreSubtotals="1" fieldPosition="0"/>
    </format>
    <format dxfId="15848">
      <pivotArea type="origin" dataOnly="0" labelOnly="1" outline="0" fieldPosition="0"/>
    </format>
    <format dxfId="15849">
      <pivotArea field="8" type="button" dataOnly="0" labelOnly="1" outline="0" axis="axisCol" fieldPosition="0"/>
    </format>
    <format dxfId="15850">
      <pivotArea field="-2" type="button" dataOnly="0" labelOnly="1" outline="0" axis="axisCol" fieldPosition="1"/>
    </format>
    <format dxfId="15851">
      <pivotArea type="topRight" dataOnly="0" labelOnly="1" outline="0" fieldPosition="0"/>
    </format>
    <format dxfId="15852">
      <pivotArea field="9" type="button" dataOnly="0" labelOnly="1" outline="0"/>
    </format>
    <format dxfId="15853">
      <pivotArea dataOnly="0" labelOnly="1" grandRow="1" outline="0" fieldPosition="0"/>
    </format>
    <format dxfId="15854">
      <pivotArea dataOnly="0" labelOnly="1" fieldPosition="0">
        <references count="1">
          <reference field="8" count="0"/>
        </references>
      </pivotArea>
    </format>
    <format dxfId="15855">
      <pivotArea type="all" dataOnly="0" outline="0" fieldPosition="0"/>
    </format>
    <format dxfId="15856">
      <pivotArea outline="0" collapsedLevelsAreSubtotals="1" fieldPosition="0"/>
    </format>
    <format dxfId="15857">
      <pivotArea type="origin" dataOnly="0" labelOnly="1" outline="0" fieldPosition="0"/>
    </format>
    <format dxfId="15858">
      <pivotArea field="8" type="button" dataOnly="0" labelOnly="1" outline="0" axis="axisCol" fieldPosition="0"/>
    </format>
    <format dxfId="15859">
      <pivotArea field="-2" type="button" dataOnly="0" labelOnly="1" outline="0" axis="axisCol" fieldPosition="1"/>
    </format>
    <format dxfId="15860">
      <pivotArea type="topRight" dataOnly="0" labelOnly="1" outline="0" fieldPosition="0"/>
    </format>
    <format dxfId="15861">
      <pivotArea field="9" type="button" dataOnly="0" labelOnly="1" outline="0"/>
    </format>
    <format dxfId="15862">
      <pivotArea dataOnly="0" labelOnly="1" grandRow="1" outline="0" fieldPosition="0"/>
    </format>
    <format dxfId="15863">
      <pivotArea dataOnly="0" labelOnly="1" fieldPosition="0">
        <references count="1">
          <reference field="8" count="0"/>
        </references>
      </pivotArea>
    </format>
    <format dxfId="15864">
      <pivotArea field="9" type="button" dataOnly="0" labelOnly="1" outline="0"/>
    </format>
    <format dxfId="15865">
      <pivotArea type="origin" dataOnly="0" labelOnly="1" outline="0" fieldPosition="0"/>
    </format>
    <format dxfId="15866">
      <pivotArea field="8" type="button" dataOnly="0" labelOnly="1" outline="0" axis="axisCol" fieldPosition="0"/>
    </format>
    <format dxfId="15867">
      <pivotArea field="-2" type="button" dataOnly="0" labelOnly="1" outline="0" axis="axisCol" fieldPosition="1"/>
    </format>
    <format dxfId="15868">
      <pivotArea type="topRight" dataOnly="0" labelOnly="1" outline="0" offset="A1:G1" fieldPosition="0"/>
    </format>
    <format dxfId="15869">
      <pivotArea field="9" type="button" dataOnly="0" labelOnly="1" outline="0"/>
    </format>
    <format dxfId="15870">
      <pivotArea dataOnly="0" labelOnly="1" grandRow="1" outline="0" fieldPosition="0"/>
    </format>
    <format dxfId="15871">
      <pivotArea dataOnly="0" labelOnly="1" fieldPosition="0">
        <references count="1">
          <reference field="8" count="0"/>
        </references>
      </pivotArea>
    </format>
    <format dxfId="15872">
      <pivotArea field="-2" type="button" dataOnly="0" labelOnly="1" outline="0" axis="axisCol" fieldPosition="1"/>
    </format>
    <format dxfId="15873">
      <pivotArea dataOnly="0" labelOnly="1" fieldPosition="0">
        <references count="1">
          <reference field="8" count="1">
            <x v="0"/>
          </reference>
        </references>
      </pivotArea>
    </format>
    <format dxfId="15874">
      <pivotArea outline="0" fieldPosition="0">
        <references count="1">
          <reference field="4294967294" count="1">
            <x v="1"/>
          </reference>
        </references>
      </pivotArea>
    </format>
    <format dxfId="15875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15876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5877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5878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5879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5880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5881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588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588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588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588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588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5887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5888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5889">
      <pivotArea type="topRight" dataOnly="0" labelOnly="1" outline="0" offset="I1" fieldPosition="0"/>
    </format>
    <format dxfId="15890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891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892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1"/>
          </reference>
        </references>
      </pivotArea>
    </format>
    <format dxfId="15893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0"/>
          </reference>
        </references>
      </pivotArea>
    </format>
    <format dxfId="15894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3"/>
          </reference>
        </references>
      </pivotArea>
    </format>
    <format dxfId="15895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2"/>
          </reference>
        </references>
      </pivotArea>
    </format>
    <format dxfId="15896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4"/>
          </reference>
        </references>
      </pivotArea>
    </format>
    <format dxfId="15897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8" count="1" selected="0">
            <x v="0"/>
          </reference>
        </references>
      </pivotArea>
    </format>
    <format dxfId="15898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8" count="1" selected="0">
            <x v="0"/>
          </reference>
        </references>
      </pivotArea>
    </format>
    <format dxfId="15899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0"/>
          </reference>
        </references>
      </pivotArea>
    </format>
    <format dxfId="15900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0"/>
          </reference>
        </references>
      </pivotArea>
    </format>
    <format dxfId="15901">
      <pivotArea collapsedLevelsAreSubtotals="1" fieldPosition="0">
        <references count="3">
          <reference field="4294967294" count="1" selected="0">
            <x v="1"/>
          </reference>
          <reference field="0" count="2">
            <x v="20"/>
            <x v="23"/>
          </reference>
          <reference field="8" count="1" selected="0">
            <x v="0"/>
          </reference>
        </references>
      </pivotArea>
    </format>
    <format dxfId="15902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0"/>
          </reference>
        </references>
      </pivotArea>
    </format>
    <format dxfId="15903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1"/>
          </reference>
        </references>
      </pivotArea>
    </format>
    <format dxfId="1590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1"/>
          </reference>
        </references>
      </pivotArea>
    </format>
    <format dxfId="15905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1"/>
          </reference>
        </references>
      </pivotArea>
    </format>
    <format dxfId="15906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2"/>
          </reference>
        </references>
      </pivotArea>
    </format>
    <format dxfId="15907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3"/>
          </reference>
        </references>
      </pivotArea>
    </format>
    <format dxfId="15908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8" count="1" selected="0">
            <x v="4"/>
          </reference>
        </references>
      </pivotArea>
    </format>
    <format dxfId="15909">
      <pivotArea field="0" type="button" dataOnly="0" labelOnly="1" outline="0" axis="axisRow" fieldPosition="0"/>
    </format>
    <format dxfId="15910">
      <pivotArea dataOnly="0" labelOnly="1" fieldPosition="0">
        <references count="1">
          <reference field="0" count="0"/>
        </references>
      </pivotArea>
    </format>
    <format dxfId="15911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3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444FC-E2FF-463E-9079-C9E0BECCD784}" name="PivotTable1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5:M31" firstHeaderRow="1" firstDataRow="3" firstDataCol="1" rowPageCount="2" colPageCount="1"/>
  <pivotFields count="16">
    <pivotField axis="axisRow" subtotalTop="0" showAll="0" insertBlankRow="1" sortType="ascending">
      <items count="41">
        <item x="7"/>
        <item x="17"/>
        <item x="31"/>
        <item m="1" x="38"/>
        <item x="12"/>
        <item x="3"/>
        <item x="25"/>
        <item x="15"/>
        <item x="13"/>
        <item x="0"/>
        <item x="37"/>
        <item x="9"/>
        <item x="19"/>
        <item x="1"/>
        <item x="26"/>
        <item x="18"/>
        <item x="10"/>
        <item x="20"/>
        <item x="6"/>
        <item x="35"/>
        <item x="23"/>
        <item x="8"/>
        <item x="28"/>
        <item x="5"/>
        <item x="29"/>
        <item x="4"/>
        <item x="36"/>
        <item x="11"/>
        <item x="30"/>
        <item x="21"/>
        <item x="32"/>
        <item x="22"/>
        <item x="16"/>
        <item x="27"/>
        <item x="24"/>
        <item x="2"/>
        <item x="33"/>
        <item x="34"/>
        <item x="14"/>
        <item m="1" x="39"/>
        <item t="default"/>
      </items>
    </pivotField>
    <pivotField axis="axisPage" subtotalTop="0" showAll="0" insertBlankRow="1">
      <items count="4">
        <item x="0"/>
        <item x="1"/>
        <item x="2"/>
        <item t="default"/>
      </items>
    </pivotField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ubtotalTop="0" showAll="0" insertBlankRow="1">
      <items count="5">
        <item x="2"/>
        <item x="3"/>
        <item x="0"/>
        <item x="1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subtotalTop="0" showAll="0" insertBlankRow="1" sortType="descending">
      <items count="4">
        <item m="1" x="2"/>
        <item sd="0" x="0"/>
        <item sd="0" x="1"/>
        <item t="default"/>
      </items>
    </pivotField>
    <pivotField dataField="1" subtotalTop="0" showAll="0" insertBlankRow="1" sumSubtotal="1"/>
    <pivotField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24">
    <i>
      <x v="1"/>
    </i>
    <i>
      <x v="2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5"/>
    </i>
    <i>
      <x v="26"/>
    </i>
    <i>
      <x v="28"/>
    </i>
    <i>
      <x v="29"/>
    </i>
    <i>
      <x v="32"/>
    </i>
    <i>
      <x v="34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1" item="2" hier="-1"/>
    <pageField fld="3" item="3" hier="-1"/>
  </pageFields>
  <dataFields count="2">
    <dataField name="Count" fld="10" baseField="9" baseItem="0"/>
    <dataField name="%" fld="10" showDataAs="percentOfRow" baseField="9" baseItem="0" numFmtId="10"/>
  </dataFields>
  <formats count="136">
    <format dxfId="10353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0354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0355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0356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0357">
      <pivotArea dataOnly="0" labelOnly="1" fieldPosition="0">
        <references count="1">
          <reference field="8" count="1">
            <x v="0"/>
          </reference>
        </references>
      </pivotArea>
    </format>
    <format dxfId="10358">
      <pivotArea dataOnly="0" labelOnly="1" fieldPosition="0">
        <references count="1">
          <reference field="8" count="1">
            <x v="0"/>
          </reference>
        </references>
      </pivotArea>
    </format>
    <format dxfId="10359">
      <pivotArea dataOnly="0" labelOnly="1" fieldPosition="0">
        <references count="1">
          <reference field="8" count="1">
            <x v="1"/>
          </reference>
        </references>
      </pivotArea>
    </format>
    <format dxfId="10360">
      <pivotArea dataOnly="0" labelOnly="1" fieldPosition="0">
        <references count="1">
          <reference field="8" count="1">
            <x v="1"/>
          </reference>
        </references>
      </pivotArea>
    </format>
    <format dxfId="10361">
      <pivotArea dataOnly="0" labelOnly="1" fieldPosition="0">
        <references count="1">
          <reference field="8" count="1">
            <x v="2"/>
          </reference>
        </references>
      </pivotArea>
    </format>
    <format dxfId="10362">
      <pivotArea dataOnly="0" labelOnly="1" fieldPosition="0">
        <references count="1">
          <reference field="8" count="1">
            <x v="2"/>
          </reference>
        </references>
      </pivotArea>
    </format>
    <format dxfId="10363">
      <pivotArea dataOnly="0" labelOnly="1" fieldPosition="0">
        <references count="1">
          <reference field="8" count="1">
            <x v="2"/>
          </reference>
        </references>
      </pivotArea>
    </format>
    <format dxfId="10364">
      <pivotArea dataOnly="0" labelOnly="1" fieldPosition="0">
        <references count="1">
          <reference field="8" count="1">
            <x v="3"/>
          </reference>
        </references>
      </pivotArea>
    </format>
    <format dxfId="10365">
      <pivotArea dataOnly="0" labelOnly="1" fieldPosition="0">
        <references count="1">
          <reference field="8" count="1">
            <x v="0"/>
          </reference>
        </references>
      </pivotArea>
    </format>
    <format dxfId="1036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367">
      <pivotArea dataOnly="0" labelOnly="1" fieldPosition="0">
        <references count="1">
          <reference field="8" count="1">
            <x v="1"/>
          </reference>
        </references>
      </pivotArea>
    </format>
    <format dxfId="1036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369">
      <pivotArea dataOnly="0" labelOnly="1" fieldPosition="0">
        <references count="1">
          <reference field="8" count="1">
            <x v="2"/>
          </reference>
        </references>
      </pivotArea>
    </format>
    <format dxfId="1037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371">
      <pivotArea dataOnly="0" labelOnly="1" fieldPosition="0">
        <references count="1">
          <reference field="8" count="1">
            <x v="3"/>
          </reference>
        </references>
      </pivotArea>
    </format>
    <format dxfId="1037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373">
      <pivotArea dataOnly="0" labelOnly="1" fieldPosition="0">
        <references count="1">
          <reference field="8" count="0"/>
        </references>
      </pivotArea>
    </format>
    <format dxfId="1037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37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37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37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37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37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38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38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382">
      <pivotArea dataOnly="0" labelOnly="1" fieldPosition="0">
        <references count="1">
          <reference field="8" count="1">
            <x v="1"/>
          </reference>
        </references>
      </pivotArea>
    </format>
    <format dxfId="10383">
      <pivotArea dataOnly="0" labelOnly="1" fieldPosition="0">
        <references count="1">
          <reference field="8" count="1">
            <x v="0"/>
          </reference>
        </references>
      </pivotArea>
    </format>
    <format dxfId="10384">
      <pivotArea type="all" dataOnly="0" outline="0" fieldPosition="0"/>
    </format>
    <format dxfId="10385">
      <pivotArea outline="0" collapsedLevelsAreSubtotals="1" fieldPosition="0"/>
    </format>
    <format dxfId="10386">
      <pivotArea type="origin" dataOnly="0" labelOnly="1" outline="0" fieldPosition="0"/>
    </format>
    <format dxfId="10387">
      <pivotArea field="8" type="button" dataOnly="0" labelOnly="1" outline="0" axis="axisCol" fieldPosition="0"/>
    </format>
    <format dxfId="10388">
      <pivotArea field="-2" type="button" dataOnly="0" labelOnly="1" outline="0" axis="axisCol" fieldPosition="1"/>
    </format>
    <format dxfId="10389">
      <pivotArea type="topRight" dataOnly="0" labelOnly="1" outline="0" fieldPosition="0"/>
    </format>
    <format dxfId="10390">
      <pivotArea field="9" type="button" dataOnly="0" labelOnly="1" outline="0"/>
    </format>
    <format dxfId="10391">
      <pivotArea dataOnly="0" labelOnly="1" grandRow="1" outline="0" fieldPosition="0"/>
    </format>
    <format dxfId="10392">
      <pivotArea dataOnly="0" labelOnly="1" fieldPosition="0">
        <references count="1">
          <reference field="8" count="0"/>
        </references>
      </pivotArea>
    </format>
    <format dxfId="10393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39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39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39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39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39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399">
      <pivotArea type="all" dataOnly="0" outline="0" fieldPosition="0"/>
    </format>
    <format dxfId="10400">
      <pivotArea outline="0" collapsedLevelsAreSubtotals="1" fieldPosition="0"/>
    </format>
    <format dxfId="10401">
      <pivotArea type="origin" dataOnly="0" labelOnly="1" outline="0" fieldPosition="0"/>
    </format>
    <format dxfId="10402">
      <pivotArea field="8" type="button" dataOnly="0" labelOnly="1" outline="0" axis="axisCol" fieldPosition="0"/>
    </format>
    <format dxfId="10403">
      <pivotArea field="-2" type="button" dataOnly="0" labelOnly="1" outline="0" axis="axisCol" fieldPosition="1"/>
    </format>
    <format dxfId="10404">
      <pivotArea type="topRight" dataOnly="0" labelOnly="1" outline="0" fieldPosition="0"/>
    </format>
    <format dxfId="10405">
      <pivotArea field="9" type="button" dataOnly="0" labelOnly="1" outline="0"/>
    </format>
    <format dxfId="10406">
      <pivotArea dataOnly="0" labelOnly="1" grandRow="1" outline="0" fieldPosition="0"/>
    </format>
    <format dxfId="10407">
      <pivotArea dataOnly="0" labelOnly="1" fieldPosition="0">
        <references count="1">
          <reference field="8" count="0"/>
        </references>
      </pivotArea>
    </format>
    <format dxfId="10408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09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41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41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41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41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414">
      <pivotArea type="all" dataOnly="0" outline="0" fieldPosition="0"/>
    </format>
    <format dxfId="10415">
      <pivotArea outline="0" collapsedLevelsAreSubtotals="1" fieldPosition="0"/>
    </format>
    <format dxfId="10416">
      <pivotArea type="origin" dataOnly="0" labelOnly="1" outline="0" fieldPosition="0"/>
    </format>
    <format dxfId="10417">
      <pivotArea field="8" type="button" dataOnly="0" labelOnly="1" outline="0" axis="axisCol" fieldPosition="0"/>
    </format>
    <format dxfId="10418">
      <pivotArea field="-2" type="button" dataOnly="0" labelOnly="1" outline="0" axis="axisCol" fieldPosition="1"/>
    </format>
    <format dxfId="10419">
      <pivotArea type="topRight" dataOnly="0" labelOnly="1" outline="0" fieldPosition="0"/>
    </format>
    <format dxfId="10420">
      <pivotArea field="9" type="button" dataOnly="0" labelOnly="1" outline="0"/>
    </format>
    <format dxfId="10421">
      <pivotArea dataOnly="0" labelOnly="1" grandRow="1" outline="0" fieldPosition="0"/>
    </format>
    <format dxfId="10422">
      <pivotArea dataOnly="0" labelOnly="1" fieldPosition="0">
        <references count="1">
          <reference field="8" count="0"/>
        </references>
      </pivotArea>
    </format>
    <format dxfId="10423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2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42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42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42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42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429">
      <pivotArea type="all" dataOnly="0" outline="0" fieldPosition="0"/>
    </format>
    <format dxfId="10430">
      <pivotArea outline="0" collapsedLevelsAreSubtotals="1" fieldPosition="0"/>
    </format>
    <format dxfId="10431">
      <pivotArea type="origin" dataOnly="0" labelOnly="1" outline="0" fieldPosition="0"/>
    </format>
    <format dxfId="10432">
      <pivotArea field="8" type="button" dataOnly="0" labelOnly="1" outline="0" axis="axisCol" fieldPosition="0"/>
    </format>
    <format dxfId="10433">
      <pivotArea field="-2" type="button" dataOnly="0" labelOnly="1" outline="0" axis="axisCol" fieldPosition="1"/>
    </format>
    <format dxfId="10434">
      <pivotArea type="topRight" dataOnly="0" labelOnly="1" outline="0" fieldPosition="0"/>
    </format>
    <format dxfId="10435">
      <pivotArea field="9" type="button" dataOnly="0" labelOnly="1" outline="0"/>
    </format>
    <format dxfId="10436">
      <pivotArea dataOnly="0" labelOnly="1" grandRow="1" outline="0" fieldPosition="0"/>
    </format>
    <format dxfId="10437">
      <pivotArea dataOnly="0" labelOnly="1" fieldPosition="0">
        <references count="1">
          <reference field="8" count="0"/>
        </references>
      </pivotArea>
    </format>
    <format dxfId="10438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39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44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44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44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44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444">
      <pivotArea field="9" type="button" dataOnly="0" labelOnly="1" outline="0"/>
    </format>
    <format dxfId="10445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0446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044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44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44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45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451">
      <pivotArea outline="0" collapsedLevelsAreSubtotals="1" fieldPosition="0">
        <references count="2">
          <reference field="4294967294" count="2" selected="0">
            <x v="0"/>
            <x v="1"/>
          </reference>
          <reference field="8" count="0" selected="0"/>
        </references>
      </pivotArea>
    </format>
    <format dxfId="10452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0453">
      <pivotArea type="origin" dataOnly="0" labelOnly="1" outline="0" fieldPosition="0"/>
    </format>
    <format dxfId="10454">
      <pivotArea field="8" type="button" dataOnly="0" labelOnly="1" outline="0" axis="axisCol" fieldPosition="0"/>
    </format>
    <format dxfId="10455">
      <pivotArea field="-2" type="button" dataOnly="0" labelOnly="1" outline="0" axis="axisCol" fieldPosition="1"/>
    </format>
    <format dxfId="10456">
      <pivotArea type="topRight" dataOnly="0" labelOnly="1" outline="0" offset="A1:G1" fieldPosition="0"/>
    </format>
    <format dxfId="10457">
      <pivotArea field="9" type="button" dataOnly="0" labelOnly="1" outline="0"/>
    </format>
    <format dxfId="10458">
      <pivotArea dataOnly="0" labelOnly="1" grandRow="1" outline="0" fieldPosition="0"/>
    </format>
    <format dxfId="10459">
      <pivotArea dataOnly="0" labelOnly="1" fieldPosition="0">
        <references count="1">
          <reference field="8" count="0"/>
        </references>
      </pivotArea>
    </format>
    <format dxfId="10460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61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46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046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046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046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046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0467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0468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0469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0470">
      <pivotArea dataOnly="0" labelOnly="1" fieldPosition="0">
        <references count="1">
          <reference field="0" count="0"/>
        </references>
      </pivotArea>
    </format>
    <format dxfId="10471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0"/>
          </reference>
        </references>
      </pivotArea>
    </format>
    <format dxfId="10472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1"/>
          </reference>
        </references>
      </pivotArea>
    </format>
    <format dxfId="10473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2"/>
          </reference>
        </references>
      </pivotArea>
    </format>
    <format dxfId="10474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4"/>
          </reference>
        </references>
      </pivotArea>
    </format>
    <format dxfId="10475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3"/>
          </reference>
        </references>
      </pivotArea>
    </format>
    <format dxfId="10476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0"/>
          </reference>
        </references>
      </pivotArea>
    </format>
    <format dxfId="10477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1"/>
          </reference>
        </references>
      </pivotArea>
    </format>
    <format dxfId="10478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0"/>
          </reference>
        </references>
      </pivotArea>
    </format>
    <format dxfId="10479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0"/>
          </reference>
        </references>
      </pivotArea>
    </format>
    <format dxfId="10480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8" count="1" selected="0">
            <x v="0"/>
          </reference>
        </references>
      </pivotArea>
    </format>
    <format dxfId="10481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8" count="1" selected="0">
            <x v="0"/>
          </reference>
        </references>
      </pivotArea>
    </format>
    <format dxfId="1048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1"/>
          </reference>
        </references>
      </pivotArea>
    </format>
    <format dxfId="10483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1"/>
          </reference>
        </references>
      </pivotArea>
    </format>
    <format dxfId="10484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2"/>
          </reference>
        </references>
      </pivotArea>
    </format>
    <format dxfId="10485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3"/>
          </reference>
        </references>
      </pivotArea>
    </format>
    <format dxfId="10486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3"/>
          </reference>
        </references>
      </pivotArea>
    </format>
    <format dxfId="10487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0"/>
          </reference>
        </references>
      </pivotArea>
    </format>
    <format dxfId="10488">
      <pivotArea field="0" type="button" dataOnly="0" labelOnly="1" outline="0" axis="axisRow" fieldPosition="0"/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EC8E-43EC-4E22-ABC0-BF05F0291856}" name="PivotTable1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3:M44" firstHeaderRow="1" firstDataRow="3" firstDataCol="1"/>
  <pivotFields count="16">
    <pivotField axis="axisRow" subtotalTop="0" showAll="0" insertBlankRow="1" sortType="ascending">
      <items count="41">
        <item x="7"/>
        <item x="17"/>
        <item x="31"/>
        <item m="1" x="38"/>
        <item x="12"/>
        <item x="3"/>
        <item x="25"/>
        <item x="15"/>
        <item x="13"/>
        <item x="0"/>
        <item x="37"/>
        <item x="9"/>
        <item x="19"/>
        <item x="1"/>
        <item x="26"/>
        <item x="18"/>
        <item x="10"/>
        <item x="20"/>
        <item x="6"/>
        <item x="35"/>
        <item x="23"/>
        <item x="8"/>
        <item x="28"/>
        <item x="5"/>
        <item x="29"/>
        <item x="4"/>
        <item x="36"/>
        <item x="11"/>
        <item x="30"/>
        <item x="21"/>
        <item x="32"/>
        <item x="22"/>
        <item x="16"/>
        <item x="27"/>
        <item x="24"/>
        <item x="2"/>
        <item x="33"/>
        <item x="34"/>
        <item x="14"/>
        <item m="1" x="39"/>
        <item t="default"/>
      </items>
    </pivotField>
    <pivotField subtotalTop="0" showAll="0" insertBlankRow="1"/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subtotalTop="0" showAll="0" insertBlankRow="1" sortType="descending">
      <items count="4">
        <item m="1" x="2"/>
        <item sd="0" x="0"/>
        <item sd="0" x="1"/>
        <item t="default"/>
      </items>
    </pivotField>
    <pivotField dataField="1" subtotalTop="0" showAll="0" insertBlankRow="1" sumSubtotal="1"/>
    <pivotField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0" baseField="9" baseItem="0"/>
    <dataField name="%" fld="10" showDataAs="percentOfRow" baseField="9" baseItem="0" numFmtId="10"/>
  </dataFields>
  <formats count="136">
    <format dxfId="17176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177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178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179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180">
      <pivotArea dataOnly="0" labelOnly="1" fieldPosition="0">
        <references count="1">
          <reference field="8" count="1">
            <x v="0"/>
          </reference>
        </references>
      </pivotArea>
    </format>
    <format dxfId="17181">
      <pivotArea dataOnly="0" labelOnly="1" fieldPosition="0">
        <references count="1">
          <reference field="8" count="1">
            <x v="0"/>
          </reference>
        </references>
      </pivotArea>
    </format>
    <format dxfId="17182">
      <pivotArea dataOnly="0" labelOnly="1" fieldPosition="0">
        <references count="1">
          <reference field="8" count="1">
            <x v="1"/>
          </reference>
        </references>
      </pivotArea>
    </format>
    <format dxfId="17183">
      <pivotArea dataOnly="0" labelOnly="1" fieldPosition="0">
        <references count="1">
          <reference field="8" count="1">
            <x v="1"/>
          </reference>
        </references>
      </pivotArea>
    </format>
    <format dxfId="17184">
      <pivotArea dataOnly="0" labelOnly="1" fieldPosition="0">
        <references count="1">
          <reference field="8" count="1">
            <x v="2"/>
          </reference>
        </references>
      </pivotArea>
    </format>
    <format dxfId="17185">
      <pivotArea dataOnly="0" labelOnly="1" fieldPosition="0">
        <references count="1">
          <reference field="8" count="1">
            <x v="2"/>
          </reference>
        </references>
      </pivotArea>
    </format>
    <format dxfId="17186">
      <pivotArea dataOnly="0" labelOnly="1" fieldPosition="0">
        <references count="1">
          <reference field="8" count="1">
            <x v="2"/>
          </reference>
        </references>
      </pivotArea>
    </format>
    <format dxfId="17187">
      <pivotArea dataOnly="0" labelOnly="1" fieldPosition="0">
        <references count="1">
          <reference field="8" count="1">
            <x v="3"/>
          </reference>
        </references>
      </pivotArea>
    </format>
    <format dxfId="17188">
      <pivotArea dataOnly="0" labelOnly="1" fieldPosition="0">
        <references count="1">
          <reference field="8" count="1">
            <x v="0"/>
          </reference>
        </references>
      </pivotArea>
    </format>
    <format dxfId="1718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190">
      <pivotArea dataOnly="0" labelOnly="1" fieldPosition="0">
        <references count="1">
          <reference field="8" count="1">
            <x v="1"/>
          </reference>
        </references>
      </pivotArea>
    </format>
    <format dxfId="1719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192">
      <pivotArea dataOnly="0" labelOnly="1" fieldPosition="0">
        <references count="1">
          <reference field="8" count="1">
            <x v="2"/>
          </reference>
        </references>
      </pivotArea>
    </format>
    <format dxfId="1719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194">
      <pivotArea dataOnly="0" labelOnly="1" fieldPosition="0">
        <references count="1">
          <reference field="8" count="1">
            <x v="3"/>
          </reference>
        </references>
      </pivotArea>
    </format>
    <format dxfId="1719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196">
      <pivotArea dataOnly="0" labelOnly="1" fieldPosition="0">
        <references count="1">
          <reference field="8" count="0"/>
        </references>
      </pivotArea>
    </format>
    <format dxfId="1719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19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19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0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0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0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0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0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05">
      <pivotArea dataOnly="0" labelOnly="1" fieldPosition="0">
        <references count="1">
          <reference field="8" count="1">
            <x v="1"/>
          </reference>
        </references>
      </pivotArea>
    </format>
    <format dxfId="17206">
      <pivotArea dataOnly="0" labelOnly="1" fieldPosition="0">
        <references count="1">
          <reference field="8" count="1">
            <x v="0"/>
          </reference>
        </references>
      </pivotArea>
    </format>
    <format dxfId="17207">
      <pivotArea type="all" dataOnly="0" outline="0" fieldPosition="0"/>
    </format>
    <format dxfId="17208">
      <pivotArea outline="0" collapsedLevelsAreSubtotals="1" fieldPosition="0"/>
    </format>
    <format dxfId="17209">
      <pivotArea type="origin" dataOnly="0" labelOnly="1" outline="0" fieldPosition="0"/>
    </format>
    <format dxfId="17210">
      <pivotArea field="8" type="button" dataOnly="0" labelOnly="1" outline="0" axis="axisCol" fieldPosition="0"/>
    </format>
    <format dxfId="17211">
      <pivotArea field="-2" type="button" dataOnly="0" labelOnly="1" outline="0" axis="axisCol" fieldPosition="1"/>
    </format>
    <format dxfId="17212">
      <pivotArea type="topRight" dataOnly="0" labelOnly="1" outline="0" fieldPosition="0"/>
    </format>
    <format dxfId="17213">
      <pivotArea field="9" type="button" dataOnly="0" labelOnly="1" outline="0"/>
    </format>
    <format dxfId="17214">
      <pivotArea dataOnly="0" labelOnly="1" grandRow="1" outline="0" fieldPosition="0"/>
    </format>
    <format dxfId="17215">
      <pivotArea dataOnly="0" labelOnly="1" fieldPosition="0">
        <references count="1">
          <reference field="8" count="0"/>
        </references>
      </pivotArea>
    </format>
    <format dxfId="1721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17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1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1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2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2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22">
      <pivotArea type="all" dataOnly="0" outline="0" fieldPosition="0"/>
    </format>
    <format dxfId="17223">
      <pivotArea outline="0" collapsedLevelsAreSubtotals="1" fieldPosition="0"/>
    </format>
    <format dxfId="17224">
      <pivotArea type="origin" dataOnly="0" labelOnly="1" outline="0" fieldPosition="0"/>
    </format>
    <format dxfId="17225">
      <pivotArea field="8" type="button" dataOnly="0" labelOnly="1" outline="0" axis="axisCol" fieldPosition="0"/>
    </format>
    <format dxfId="17226">
      <pivotArea field="-2" type="button" dataOnly="0" labelOnly="1" outline="0" axis="axisCol" fieldPosition="1"/>
    </format>
    <format dxfId="17227">
      <pivotArea type="topRight" dataOnly="0" labelOnly="1" outline="0" fieldPosition="0"/>
    </format>
    <format dxfId="17228">
      <pivotArea field="9" type="button" dataOnly="0" labelOnly="1" outline="0"/>
    </format>
    <format dxfId="17229">
      <pivotArea dataOnly="0" labelOnly="1" grandRow="1" outline="0" fieldPosition="0"/>
    </format>
    <format dxfId="17230">
      <pivotArea dataOnly="0" labelOnly="1" fieldPosition="0">
        <references count="1">
          <reference field="8" count="0"/>
        </references>
      </pivotArea>
    </format>
    <format dxfId="1723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32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3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3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3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3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37">
      <pivotArea type="all" dataOnly="0" outline="0" fieldPosition="0"/>
    </format>
    <format dxfId="17238">
      <pivotArea outline="0" collapsedLevelsAreSubtotals="1" fieldPosition="0"/>
    </format>
    <format dxfId="17239">
      <pivotArea type="origin" dataOnly="0" labelOnly="1" outline="0" fieldPosition="0"/>
    </format>
    <format dxfId="17240">
      <pivotArea field="8" type="button" dataOnly="0" labelOnly="1" outline="0" axis="axisCol" fieldPosition="0"/>
    </format>
    <format dxfId="17241">
      <pivotArea field="-2" type="button" dataOnly="0" labelOnly="1" outline="0" axis="axisCol" fieldPosition="1"/>
    </format>
    <format dxfId="17242">
      <pivotArea type="topRight" dataOnly="0" labelOnly="1" outline="0" fieldPosition="0"/>
    </format>
    <format dxfId="17243">
      <pivotArea field="9" type="button" dataOnly="0" labelOnly="1" outline="0"/>
    </format>
    <format dxfId="17244">
      <pivotArea dataOnly="0" labelOnly="1" grandRow="1" outline="0" fieldPosition="0"/>
    </format>
    <format dxfId="17245">
      <pivotArea dataOnly="0" labelOnly="1" fieldPosition="0">
        <references count="1">
          <reference field="8" count="0"/>
        </references>
      </pivotArea>
    </format>
    <format dxfId="1724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47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4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4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5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5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52">
      <pivotArea type="all" dataOnly="0" outline="0" fieldPosition="0"/>
    </format>
    <format dxfId="17253">
      <pivotArea outline="0" collapsedLevelsAreSubtotals="1" fieldPosition="0"/>
    </format>
    <format dxfId="17254">
      <pivotArea type="origin" dataOnly="0" labelOnly="1" outline="0" fieldPosition="0"/>
    </format>
    <format dxfId="17255">
      <pivotArea field="8" type="button" dataOnly="0" labelOnly="1" outline="0" axis="axisCol" fieldPosition="0"/>
    </format>
    <format dxfId="17256">
      <pivotArea field="-2" type="button" dataOnly="0" labelOnly="1" outline="0" axis="axisCol" fieldPosition="1"/>
    </format>
    <format dxfId="17257">
      <pivotArea type="topRight" dataOnly="0" labelOnly="1" outline="0" fieldPosition="0"/>
    </format>
    <format dxfId="17258">
      <pivotArea field="9" type="button" dataOnly="0" labelOnly="1" outline="0"/>
    </format>
    <format dxfId="17259">
      <pivotArea dataOnly="0" labelOnly="1" grandRow="1" outline="0" fieldPosition="0"/>
    </format>
    <format dxfId="17260">
      <pivotArea dataOnly="0" labelOnly="1" fieldPosition="0">
        <references count="1">
          <reference field="8" count="0"/>
        </references>
      </pivotArea>
    </format>
    <format dxfId="17261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62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6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64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6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6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67">
      <pivotArea field="9" type="button" dataOnly="0" labelOnly="1" outline="0"/>
    </format>
    <format dxfId="17268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7269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27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71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72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73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74">
      <pivotArea outline="0" collapsedLevelsAreSubtotals="1" fieldPosition="0">
        <references count="2">
          <reference field="4294967294" count="2" selected="0">
            <x v="0"/>
            <x v="1"/>
          </reference>
          <reference field="8" count="0" selected="0"/>
        </references>
      </pivotArea>
    </format>
    <format dxfId="17275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7276">
      <pivotArea type="origin" dataOnly="0" labelOnly="1" outline="0" fieldPosition="0"/>
    </format>
    <format dxfId="17277">
      <pivotArea field="8" type="button" dataOnly="0" labelOnly="1" outline="0" axis="axisCol" fieldPosition="0"/>
    </format>
    <format dxfId="17278">
      <pivotArea field="-2" type="button" dataOnly="0" labelOnly="1" outline="0" axis="axisCol" fieldPosition="1"/>
    </format>
    <format dxfId="17279">
      <pivotArea type="topRight" dataOnly="0" labelOnly="1" outline="0" offset="A1:G1" fieldPosition="0"/>
    </format>
    <format dxfId="17280">
      <pivotArea field="9" type="button" dataOnly="0" labelOnly="1" outline="0"/>
    </format>
    <format dxfId="17281">
      <pivotArea dataOnly="0" labelOnly="1" grandRow="1" outline="0" fieldPosition="0"/>
    </format>
    <format dxfId="17282">
      <pivotArea dataOnly="0" labelOnly="1" fieldPosition="0">
        <references count="1">
          <reference field="8" count="0"/>
        </references>
      </pivotArea>
    </format>
    <format dxfId="17283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84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85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28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28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28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28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290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291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292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293">
      <pivotArea dataOnly="0" labelOnly="1" fieldPosition="0">
        <references count="1">
          <reference field="0" count="0"/>
        </references>
      </pivotArea>
    </format>
    <format dxfId="17294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0"/>
          </reference>
        </references>
      </pivotArea>
    </format>
    <format dxfId="17295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1"/>
          </reference>
        </references>
      </pivotArea>
    </format>
    <format dxfId="17296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2"/>
          </reference>
        </references>
      </pivotArea>
    </format>
    <format dxfId="17297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4"/>
          </reference>
        </references>
      </pivotArea>
    </format>
    <format dxfId="17298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3"/>
          </reference>
        </references>
      </pivotArea>
    </format>
    <format dxfId="17299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0"/>
          </reference>
        </references>
      </pivotArea>
    </format>
    <format dxfId="17300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1"/>
          </reference>
        </references>
      </pivotArea>
    </format>
    <format dxfId="17301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0"/>
          </reference>
        </references>
      </pivotArea>
    </format>
    <format dxfId="17302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0"/>
          </reference>
        </references>
      </pivotArea>
    </format>
    <format dxfId="17303">
      <pivotArea collapsedLevelsAreSubtotals="1" fieldPosition="0">
        <references count="3">
          <reference field="4294967294" count="1" selected="0">
            <x v="1"/>
          </reference>
          <reference field="0" count="1">
            <x v="9"/>
          </reference>
          <reference field="8" count="1" selected="0">
            <x v="0"/>
          </reference>
        </references>
      </pivotArea>
    </format>
    <format dxfId="17304">
      <pivotArea collapsedLevelsAreSubtotals="1" fieldPosition="0">
        <references count="3">
          <reference field="4294967294" count="1" selected="0">
            <x v="1"/>
          </reference>
          <reference field="0" count="1">
            <x v="8"/>
          </reference>
          <reference field="8" count="1" selected="0">
            <x v="0"/>
          </reference>
        </references>
      </pivotArea>
    </format>
    <format dxfId="17305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1"/>
          </reference>
        </references>
      </pivotArea>
    </format>
    <format dxfId="17306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1"/>
          </reference>
        </references>
      </pivotArea>
    </format>
    <format dxfId="17307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2"/>
          </reference>
        </references>
      </pivotArea>
    </format>
    <format dxfId="17308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3"/>
          </reference>
        </references>
      </pivotArea>
    </format>
    <format dxfId="17309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3"/>
          </reference>
        </references>
      </pivotArea>
    </format>
    <format dxfId="17310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0"/>
          </reference>
        </references>
      </pivotArea>
    </format>
    <format dxfId="17311">
      <pivotArea field="0" type="button" dataOnly="0" labelOnly="1" outline="0" axis="axisRow" fieldPosition="0"/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2BCC7-99C0-4B47-B860-F337E13B5E6E}" name="PivotTable2" cacheId="26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" colHeaderCaption="">
  <location ref="A49:M90" firstHeaderRow="1" firstDataRow="3" firstDataCol="1"/>
  <pivotFields count="16">
    <pivotField axis="axisRow" subtotalTop="0" showAll="0" insertBlankRow="1" sortType="ascending">
      <items count="41">
        <item x="7"/>
        <item x="17"/>
        <item x="31"/>
        <item m="1" x="38"/>
        <item x="12"/>
        <item x="3"/>
        <item x="25"/>
        <item x="15"/>
        <item x="13"/>
        <item x="0"/>
        <item x="37"/>
        <item x="9"/>
        <item x="19"/>
        <item x="1"/>
        <item x="26"/>
        <item x="18"/>
        <item x="10"/>
        <item x="20"/>
        <item x="6"/>
        <item x="35"/>
        <item x="23"/>
        <item x="8"/>
        <item x="28"/>
        <item x="5"/>
        <item x="29"/>
        <item x="4"/>
        <item x="36"/>
        <item x="11"/>
        <item x="30"/>
        <item x="21"/>
        <item x="32"/>
        <item x="22"/>
        <item x="16"/>
        <item x="27"/>
        <item x="24"/>
        <item x="2"/>
        <item x="33"/>
        <item x="34"/>
        <item x="14"/>
        <item m="1" x="39"/>
        <item t="default"/>
      </items>
    </pivotField>
    <pivotField subtotalTop="0" showAll="0" insertBlankRow="1"/>
    <pivotField numFmtId="164" subtotalTop="0" showAll="0" insertBlankRow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axis="axisCol" subtotalTop="0" showAll="0" insertBlankRow="1">
      <items count="8">
        <item x="0"/>
        <item x="2"/>
        <item x="4"/>
        <item x="1"/>
        <item x="3"/>
        <item m="1" x="6"/>
        <item m="1" x="5"/>
        <item t="default"/>
      </items>
    </pivotField>
    <pivotField subtotalTop="0" showAll="0" insertBlankRow="1" sortType="descending">
      <items count="4">
        <item m="1" x="2"/>
        <item sd="0" x="0"/>
        <item sd="0" x="1"/>
        <item t="default"/>
      </items>
    </pivotField>
    <pivotField subtotalTop="0" showAll="0" insertBlankRow="1" sumSubtotal="1"/>
    <pivotField dataField="1" subtotalTop="0" showAll="0" insertBlankRow="1"/>
    <pivotField subtotalTop="0" showAll="0" insertBlankRow="1"/>
    <pivotField subtotalTop="0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 insertBlankRow="1">
      <items count="7">
        <item x="0"/>
        <item x="1"/>
        <item x="2"/>
        <item x="3"/>
        <item x="4"/>
        <item x="5"/>
        <item t="default"/>
      </items>
    </pivotField>
    <pivotField subtotalTop="0" showAll="0" insertBlankRow="1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3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" fld="11" baseField="9" baseItem="0"/>
    <dataField name="%" fld="11" showDataAs="percentOfRow" baseField="9" baseItem="1" numFmtId="10"/>
  </dataFields>
  <formats count="99">
    <format dxfId="17077">
      <pivotArea dataOnly="0" labelOnly="1" fieldPosition="0">
        <references count="1">
          <reference field="8" count="1">
            <x v="0"/>
          </reference>
        </references>
      </pivotArea>
    </format>
    <format dxfId="17078">
      <pivotArea dataOnly="0" labelOnly="1" fieldPosition="0">
        <references count="1">
          <reference field="8" count="1">
            <x v="0"/>
          </reference>
        </references>
      </pivotArea>
    </format>
    <format dxfId="17079">
      <pivotArea dataOnly="0" labelOnly="1" fieldPosition="0">
        <references count="1">
          <reference field="8" count="1">
            <x v="1"/>
          </reference>
        </references>
      </pivotArea>
    </format>
    <format dxfId="17080">
      <pivotArea dataOnly="0" labelOnly="1" fieldPosition="0">
        <references count="1">
          <reference field="8" count="1">
            <x v="1"/>
          </reference>
        </references>
      </pivotArea>
    </format>
    <format dxfId="17081">
      <pivotArea dataOnly="0" labelOnly="1" fieldPosition="0">
        <references count="1">
          <reference field="8" count="1">
            <x v="2"/>
          </reference>
        </references>
      </pivotArea>
    </format>
    <format dxfId="17082">
      <pivotArea dataOnly="0" labelOnly="1" fieldPosition="0">
        <references count="1">
          <reference field="8" count="1">
            <x v="2"/>
          </reference>
        </references>
      </pivotArea>
    </format>
    <format dxfId="17083">
      <pivotArea dataOnly="0" labelOnly="1" fieldPosition="0">
        <references count="1">
          <reference field="8" count="1">
            <x v="2"/>
          </reference>
        </references>
      </pivotArea>
    </format>
    <format dxfId="17084">
      <pivotArea dataOnly="0" labelOnly="1" fieldPosition="0">
        <references count="1">
          <reference field="8" count="1">
            <x v="3"/>
          </reference>
        </references>
      </pivotArea>
    </format>
    <format dxfId="17085">
      <pivotArea dataOnly="0" labelOnly="1" fieldPosition="0">
        <references count="1">
          <reference field="8" count="1">
            <x v="0"/>
          </reference>
        </references>
      </pivotArea>
    </format>
    <format dxfId="17086">
      <pivotArea dataOnly="0" labelOnly="1" fieldPosition="0">
        <references count="1">
          <reference field="8" count="1">
            <x v="1"/>
          </reference>
        </references>
      </pivotArea>
    </format>
    <format dxfId="17087">
      <pivotArea dataOnly="0" labelOnly="1" fieldPosition="0">
        <references count="1">
          <reference field="8" count="1">
            <x v="2"/>
          </reference>
        </references>
      </pivotArea>
    </format>
    <format dxfId="17088">
      <pivotArea dataOnly="0" labelOnly="1" fieldPosition="0">
        <references count="1">
          <reference field="8" count="1">
            <x v="3"/>
          </reference>
        </references>
      </pivotArea>
    </format>
    <format dxfId="17089">
      <pivotArea dataOnly="0" labelOnly="1" fieldPosition="0">
        <references count="1">
          <reference field="8" count="0"/>
        </references>
      </pivotArea>
    </format>
    <format dxfId="17090">
      <pivotArea dataOnly="0" labelOnly="1" fieldPosition="0">
        <references count="1">
          <reference field="8" count="1">
            <x v="1"/>
          </reference>
        </references>
      </pivotArea>
    </format>
    <format dxfId="17091">
      <pivotArea dataOnly="0" labelOnly="1" fieldPosition="0">
        <references count="1">
          <reference field="8" count="1">
            <x v="0"/>
          </reference>
        </references>
      </pivotArea>
    </format>
    <format dxfId="17092">
      <pivotArea type="all" dataOnly="0" outline="0" fieldPosition="0"/>
    </format>
    <format dxfId="17093">
      <pivotArea outline="0" collapsedLevelsAreSubtotals="1" fieldPosition="0"/>
    </format>
    <format dxfId="17094">
      <pivotArea type="origin" dataOnly="0" labelOnly="1" outline="0" fieldPosition="0"/>
    </format>
    <format dxfId="17095">
      <pivotArea field="8" type="button" dataOnly="0" labelOnly="1" outline="0" axis="axisCol" fieldPosition="0"/>
    </format>
    <format dxfId="17096">
      <pivotArea field="-2" type="button" dataOnly="0" labelOnly="1" outline="0" axis="axisCol" fieldPosition="1"/>
    </format>
    <format dxfId="17097">
      <pivotArea type="topRight" dataOnly="0" labelOnly="1" outline="0" fieldPosition="0"/>
    </format>
    <format dxfId="17098">
      <pivotArea field="9" type="button" dataOnly="0" labelOnly="1" outline="0"/>
    </format>
    <format dxfId="17099">
      <pivotArea dataOnly="0" labelOnly="1" grandRow="1" outline="0" fieldPosition="0"/>
    </format>
    <format dxfId="17100">
      <pivotArea dataOnly="0" labelOnly="1" fieldPosition="0">
        <references count="1">
          <reference field="8" count="0"/>
        </references>
      </pivotArea>
    </format>
    <format dxfId="17101">
      <pivotArea type="all" dataOnly="0" outline="0" fieldPosition="0"/>
    </format>
    <format dxfId="17102">
      <pivotArea outline="0" collapsedLevelsAreSubtotals="1" fieldPosition="0"/>
    </format>
    <format dxfId="17103">
      <pivotArea type="origin" dataOnly="0" labelOnly="1" outline="0" fieldPosition="0"/>
    </format>
    <format dxfId="17104">
      <pivotArea field="8" type="button" dataOnly="0" labelOnly="1" outline="0" axis="axisCol" fieldPosition="0"/>
    </format>
    <format dxfId="17105">
      <pivotArea field="-2" type="button" dataOnly="0" labelOnly="1" outline="0" axis="axisCol" fieldPosition="1"/>
    </format>
    <format dxfId="17106">
      <pivotArea type="topRight" dataOnly="0" labelOnly="1" outline="0" fieldPosition="0"/>
    </format>
    <format dxfId="17107">
      <pivotArea field="9" type="button" dataOnly="0" labelOnly="1" outline="0"/>
    </format>
    <format dxfId="17108">
      <pivotArea dataOnly="0" labelOnly="1" grandRow="1" outline="0" fieldPosition="0"/>
    </format>
    <format dxfId="17109">
      <pivotArea dataOnly="0" labelOnly="1" fieldPosition="0">
        <references count="1">
          <reference field="8" count="0"/>
        </references>
      </pivotArea>
    </format>
    <format dxfId="17110">
      <pivotArea type="all" dataOnly="0" outline="0" fieldPosition="0"/>
    </format>
    <format dxfId="17111">
      <pivotArea outline="0" collapsedLevelsAreSubtotals="1" fieldPosition="0"/>
    </format>
    <format dxfId="17112">
      <pivotArea type="origin" dataOnly="0" labelOnly="1" outline="0" fieldPosition="0"/>
    </format>
    <format dxfId="17113">
      <pivotArea field="8" type="button" dataOnly="0" labelOnly="1" outline="0" axis="axisCol" fieldPosition="0"/>
    </format>
    <format dxfId="17114">
      <pivotArea field="-2" type="button" dataOnly="0" labelOnly="1" outline="0" axis="axisCol" fieldPosition="1"/>
    </format>
    <format dxfId="17115">
      <pivotArea type="topRight" dataOnly="0" labelOnly="1" outline="0" fieldPosition="0"/>
    </format>
    <format dxfId="17116">
      <pivotArea field="9" type="button" dataOnly="0" labelOnly="1" outline="0"/>
    </format>
    <format dxfId="17117">
      <pivotArea dataOnly="0" labelOnly="1" grandRow="1" outline="0" fieldPosition="0"/>
    </format>
    <format dxfId="17118">
      <pivotArea dataOnly="0" labelOnly="1" fieldPosition="0">
        <references count="1">
          <reference field="8" count="0"/>
        </references>
      </pivotArea>
    </format>
    <format dxfId="17119">
      <pivotArea type="all" dataOnly="0" outline="0" fieldPosition="0"/>
    </format>
    <format dxfId="17120">
      <pivotArea outline="0" collapsedLevelsAreSubtotals="1" fieldPosition="0"/>
    </format>
    <format dxfId="17121">
      <pivotArea type="origin" dataOnly="0" labelOnly="1" outline="0" fieldPosition="0"/>
    </format>
    <format dxfId="17122">
      <pivotArea field="8" type="button" dataOnly="0" labelOnly="1" outline="0" axis="axisCol" fieldPosition="0"/>
    </format>
    <format dxfId="17123">
      <pivotArea field="-2" type="button" dataOnly="0" labelOnly="1" outline="0" axis="axisCol" fieldPosition="1"/>
    </format>
    <format dxfId="17124">
      <pivotArea type="topRight" dataOnly="0" labelOnly="1" outline="0" fieldPosition="0"/>
    </format>
    <format dxfId="17125">
      <pivotArea field="9" type="button" dataOnly="0" labelOnly="1" outline="0"/>
    </format>
    <format dxfId="17126">
      <pivotArea dataOnly="0" labelOnly="1" grandRow="1" outline="0" fieldPosition="0"/>
    </format>
    <format dxfId="17127">
      <pivotArea dataOnly="0" labelOnly="1" fieldPosition="0">
        <references count="1">
          <reference field="8" count="0"/>
        </references>
      </pivotArea>
    </format>
    <format dxfId="17128">
      <pivotArea field="9" type="button" dataOnly="0" labelOnly="1" outline="0"/>
    </format>
    <format dxfId="17129">
      <pivotArea type="origin" dataOnly="0" labelOnly="1" outline="0" fieldPosition="0"/>
    </format>
    <format dxfId="17130">
      <pivotArea field="8" type="button" dataOnly="0" labelOnly="1" outline="0" axis="axisCol" fieldPosition="0"/>
    </format>
    <format dxfId="17131">
      <pivotArea field="-2" type="button" dataOnly="0" labelOnly="1" outline="0" axis="axisCol" fieldPosition="1"/>
    </format>
    <format dxfId="17132">
      <pivotArea type="topRight" dataOnly="0" labelOnly="1" outline="0" offset="A1:G1" fieldPosition="0"/>
    </format>
    <format dxfId="17133">
      <pivotArea field="9" type="button" dataOnly="0" labelOnly="1" outline="0"/>
    </format>
    <format dxfId="17134">
      <pivotArea dataOnly="0" labelOnly="1" grandRow="1" outline="0" fieldPosition="0"/>
    </format>
    <format dxfId="17135">
      <pivotArea dataOnly="0" labelOnly="1" fieldPosition="0">
        <references count="1">
          <reference field="8" count="0"/>
        </references>
      </pivotArea>
    </format>
    <format dxfId="17136">
      <pivotArea field="-2" type="button" dataOnly="0" labelOnly="1" outline="0" axis="axisCol" fieldPosition="1"/>
    </format>
    <format dxfId="17137">
      <pivotArea dataOnly="0" labelOnly="1" fieldPosition="0">
        <references count="1">
          <reference field="8" count="1">
            <x v="0"/>
          </reference>
        </references>
      </pivotArea>
    </format>
    <format dxfId="17138">
      <pivotArea outline="0" fieldPosition="0">
        <references count="1">
          <reference field="4294967294" count="1">
            <x v="1"/>
          </reference>
        </references>
      </pivotArea>
    </format>
    <format dxfId="17139">
      <pivotArea outline="0" collapsedLevelsAreSubtotals="1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17140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141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format>
    <format dxfId="17142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143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format>
    <format dxfId="17144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format>
    <format dxfId="17145">
      <pivotArea field="8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7146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0"/>
          </reference>
        </references>
      </pivotArea>
    </format>
    <format dxfId="17147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2"/>
          </reference>
        </references>
      </pivotArea>
    </format>
    <format dxfId="17148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1"/>
          </reference>
        </references>
      </pivotArea>
    </format>
    <format dxfId="17149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3"/>
          </reference>
        </references>
      </pivotArea>
    </format>
    <format dxfId="17150">
      <pivotArea dataOnly="0" labelOnly="1" outline="0" fieldPosition="0">
        <references count="2">
          <reference field="4294967294" count="2">
            <x v="0"/>
            <x v="1"/>
          </reference>
          <reference field="8" count="1" selected="0">
            <x v="4"/>
          </reference>
        </references>
      </pivotArea>
    </format>
    <format dxfId="17151">
      <pivotArea field="8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7152">
      <pivotArea field="8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153">
      <pivotArea type="topRight" dataOnly="0" labelOnly="1" outline="0" offset="I1" fieldPosition="0"/>
    </format>
    <format dxfId="17154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55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56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1"/>
          </reference>
        </references>
      </pivotArea>
    </format>
    <format dxfId="17157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0"/>
          </reference>
        </references>
      </pivotArea>
    </format>
    <format dxfId="17158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3"/>
          </reference>
        </references>
      </pivotArea>
    </format>
    <format dxfId="17159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2"/>
          </reference>
        </references>
      </pivotArea>
    </format>
    <format dxfId="17160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8" count="1" selected="0">
            <x v="4"/>
          </reference>
        </references>
      </pivotArea>
    </format>
    <format dxfId="17161">
      <pivotArea collapsedLevelsAreSubtotals="1" fieldPosition="0">
        <references count="3">
          <reference field="4294967294" count="1" selected="0">
            <x v="1"/>
          </reference>
          <reference field="0" count="1">
            <x v="1"/>
          </reference>
          <reference field="8" count="1" selected="0">
            <x v="0"/>
          </reference>
        </references>
      </pivotArea>
    </format>
    <format dxfId="17162">
      <pivotArea collapsedLevelsAreSubtotals="1" fieldPosition="0">
        <references count="3">
          <reference field="4294967294" count="1" selected="0">
            <x v="1"/>
          </reference>
          <reference field="0" count="1">
            <x v="4"/>
          </reference>
          <reference field="8" count="1" selected="0">
            <x v="0"/>
          </reference>
        </references>
      </pivotArea>
    </format>
    <format dxfId="17163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0"/>
          </reference>
        </references>
      </pivotArea>
    </format>
    <format dxfId="17164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0"/>
          </reference>
        </references>
      </pivotArea>
    </format>
    <format dxfId="17165">
      <pivotArea collapsedLevelsAreSubtotals="1" fieldPosition="0">
        <references count="3">
          <reference field="4294967294" count="1" selected="0">
            <x v="1"/>
          </reference>
          <reference field="0" count="2">
            <x v="20"/>
            <x v="23"/>
          </reference>
          <reference field="8" count="1" selected="0">
            <x v="0"/>
          </reference>
        </references>
      </pivotArea>
    </format>
    <format dxfId="17166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0"/>
          </reference>
        </references>
      </pivotArea>
    </format>
    <format dxfId="17167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4"/>
          </reference>
          <reference field="8" count="1" selected="0">
            <x v="1"/>
          </reference>
        </references>
      </pivotArea>
    </format>
    <format dxfId="17168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1"/>
          </reference>
        </references>
      </pivotArea>
    </format>
    <format dxfId="17169">
      <pivotArea collapsedLevelsAreSubtotals="1" fieldPosition="0">
        <references count="3">
          <reference field="4294967294" count="1" selected="0">
            <x v="1"/>
          </reference>
          <reference field="0" count="1">
            <x v="23"/>
          </reference>
          <reference field="8" count="1" selected="0">
            <x v="1"/>
          </reference>
        </references>
      </pivotArea>
    </format>
    <format dxfId="17170">
      <pivotArea collapsedLevelsAreSubtotals="1" fieldPosition="0">
        <references count="3">
          <reference field="4294967294" count="1" selected="0">
            <x v="1"/>
          </reference>
          <reference field="0" count="2">
            <x v="8"/>
            <x v="9"/>
          </reference>
          <reference field="8" count="1" selected="0">
            <x v="2"/>
          </reference>
        </references>
      </pivotArea>
    </format>
    <format dxfId="17171">
      <pivotArea collapsedLevelsAreSubtotals="1" fieldPosition="0">
        <references count="3">
          <reference field="4294967294" count="1" selected="0">
            <x v="1"/>
          </reference>
          <reference field="0" count="1">
            <x v="29"/>
          </reference>
          <reference field="8" count="1" selected="0">
            <x v="3"/>
          </reference>
        </references>
      </pivotArea>
    </format>
    <format dxfId="17172">
      <pivotArea collapsedLevelsAreSubtotals="1" fieldPosition="0">
        <references count="3">
          <reference field="4294967294" count="1" selected="0">
            <x v="1"/>
          </reference>
          <reference field="0" count="1">
            <x v="20"/>
          </reference>
          <reference field="8" count="1" selected="0">
            <x v="4"/>
          </reference>
        </references>
      </pivotArea>
    </format>
    <format dxfId="17173">
      <pivotArea field="0" type="button" dataOnly="0" labelOnly="1" outline="0" axis="axisRow" fieldPosition="0"/>
    </format>
    <format dxfId="17174">
      <pivotArea dataOnly="0" labelOnly="1" fieldPosition="0">
        <references count="1">
          <reference field="0" count="0"/>
        </references>
      </pivotArea>
    </format>
    <format dxfId="17175">
      <pivotArea collapsedLevelsAreSubtotals="1" fieldPosition="0">
        <references count="3">
          <reference field="4294967294" count="1" selected="0">
            <x v="1"/>
          </reference>
          <reference field="0" count="1">
            <x v="13"/>
          </reference>
          <reference field="8" count="1" selected="0">
            <x v="3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57974-E6AC-49FE-A8C3-28789DAA7723}" name="Data" displayName="Data" ref="A1:N758" totalsRowShown="0" headerRowDxfId="19772" dataDxfId="19770" headerRowBorderDxfId="19771" tableBorderDxfId="19769" totalsRowBorderDxfId="19768">
  <autoFilter ref="A1:N758" xr:uid="{37A57974-E6AC-49FE-A8C3-28789DAA7723}"/>
  <sortState xmlns:xlrd2="http://schemas.microsoft.com/office/spreadsheetml/2017/richdata2" ref="A2:N758">
    <sortCondition ref="C1:C758"/>
  </sortState>
  <tableColumns count="14">
    <tableColumn id="1" xr3:uid="{C4648148-B214-454F-B5EC-BB42EC1D0398}" name="Company" dataDxfId="19767"/>
    <tableColumn id="2" xr3:uid="{DA9DC70C-544A-4D5D-A1B6-6B0432387F61}" name="Year" dataDxfId="19766"/>
    <tableColumn id="3" xr3:uid="{7E1631A9-BCDF-4266-A28F-1F0EA9C78111}" name="Date2" dataDxfId="19765"/>
    <tableColumn id="4" xr3:uid="{A9223E4E-84ED-40C2-BCB3-D9B8EB529C06}" name="Quarter" dataDxfId="19764"/>
    <tableColumn id="5" xr3:uid="{6470FDBE-187B-4810-B5FE-B8D14F93449C}" name="Occupation Classifications (SOC Major Group)" dataDxfId="19763"/>
    <tableColumn id="6" xr3:uid="{CBF5D366-03C3-44A6-83B9-65816DDF7A99}" name="SOC Job Title" dataDxfId="19762"/>
    <tableColumn id="7" xr3:uid="{485CAB8D-0972-4498-8087-FF57F8D4A155}" name="EEO Job Title" dataDxfId="19761"/>
    <tableColumn id="8" xr3:uid="{C1474FE2-47B9-470F-800A-A0990E5EBCB2}" name="SOC Job Code" dataDxfId="19760"/>
    <tableColumn id="9" xr3:uid="{77241716-3E57-460C-8FDC-958443227126}" name="Race/Ethnicity" dataDxfId="19759"/>
    <tableColumn id="10" xr3:uid="{21514832-6DBE-40D1-A1FF-E7CD9597A28B}" name="Gender" dataDxfId="19758"/>
    <tableColumn id="11" xr3:uid="{915937D6-961E-4368-872F-4C0612F39121}" name="No. of Employees" dataDxfId="19757"/>
    <tableColumn id="12" xr3:uid="{BFA48614-AE16-4EB2-B206-70A12E1C3DC4}" name="No. of Hours Worked" dataDxfId="19756"/>
    <tableColumn id="13" xr3:uid="{81B347F7-CE2B-4CCF-B702-EE43E878E596}" name="Gross Wages" dataDxfId="19755" dataCellStyle="Currency"/>
    <tableColumn id="14" xr3:uid="{F1F35FD3-1BEB-4AD4-A7B9-9BD85662B9AF}" name="Column1" dataDxfId="197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B971-8846-474C-9DB3-533076389954}">
  <sheetPr>
    <pageSetUpPr fitToPage="1"/>
  </sheetPr>
  <dimension ref="A1:Y168"/>
  <sheetViews>
    <sheetView tabSelected="1" view="pageBreakPreview" topLeftCell="A144" zoomScale="74" zoomScaleNormal="100" zoomScaleSheetLayoutView="100" zoomScalePageLayoutView="110" workbookViewId="0">
      <selection activeCell="F9" sqref="F9"/>
    </sheetView>
  </sheetViews>
  <sheetFormatPr defaultColWidth="9.109375" defaultRowHeight="18" customHeight="1" x14ac:dyDescent="0.25"/>
  <cols>
    <col min="1" max="1" width="14.109375" style="4" customWidth="1"/>
    <col min="2" max="2" width="13.77734375" style="4" customWidth="1"/>
    <col min="3" max="3" width="13.77734375" style="7" customWidth="1"/>
    <col min="4" max="4" width="13.77734375" style="4" customWidth="1"/>
    <col min="5" max="5" width="13.77734375" style="7" customWidth="1"/>
    <col min="6" max="6" width="13.77734375" style="4" customWidth="1"/>
    <col min="7" max="7" width="13.77734375" style="7" customWidth="1"/>
    <col min="8" max="8" width="13.77734375" style="4" customWidth="1"/>
    <col min="9" max="9" width="13.77734375" style="7" customWidth="1"/>
    <col min="10" max="10" width="13.77734375" style="4" customWidth="1"/>
    <col min="11" max="11" width="14.77734375" style="6" customWidth="1"/>
    <col min="12" max="12" width="15.44140625" style="4" customWidth="1"/>
    <col min="13" max="13" width="29.21875" style="4" hidden="1" customWidth="1"/>
    <col min="14" max="16384" width="9.109375" style="4"/>
  </cols>
  <sheetData>
    <row r="1" spans="1:25" ht="19.5" customHeight="1" x14ac:dyDescent="0.25">
      <c r="A1" s="65" t="s">
        <v>120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25" ht="22.5" customHeight="1" x14ac:dyDescent="0.25">
      <c r="A2" s="5"/>
      <c r="B2" s="64" t="s">
        <v>0</v>
      </c>
      <c r="C2" s="64"/>
      <c r="D2" s="64" t="s">
        <v>1</v>
      </c>
      <c r="E2" s="64"/>
      <c r="F2" s="64" t="s">
        <v>2</v>
      </c>
      <c r="G2" s="64"/>
      <c r="H2" s="64" t="s">
        <v>3</v>
      </c>
      <c r="I2" s="64"/>
      <c r="J2" s="64" t="s">
        <v>115</v>
      </c>
      <c r="K2" s="64"/>
      <c r="L2" s="5" t="s">
        <v>4</v>
      </c>
    </row>
    <row r="3" spans="1:25" ht="12.75" hidden="1" customHeight="1" x14ac:dyDescent="0.3">
      <c r="A3" s="82"/>
      <c r="B3" s="86" t="s">
        <v>5</v>
      </c>
      <c r="C3" s="98"/>
      <c r="D3" s="82"/>
      <c r="E3" s="82"/>
      <c r="F3" s="82"/>
      <c r="G3" s="82"/>
      <c r="H3" s="82"/>
      <c r="I3" s="82"/>
      <c r="J3" s="82"/>
      <c r="K3" s="82"/>
      <c r="L3" s="82"/>
      <c r="M3" s="82"/>
      <c r="N3"/>
      <c r="O3"/>
      <c r="P3"/>
      <c r="Q3"/>
      <c r="R3"/>
      <c r="S3"/>
      <c r="T3"/>
      <c r="U3"/>
      <c r="V3"/>
      <c r="W3"/>
      <c r="X3"/>
      <c r="Y3"/>
    </row>
    <row r="4" spans="1:25" ht="12.75" hidden="1" customHeight="1" x14ac:dyDescent="0.3">
      <c r="A4" s="82"/>
      <c r="B4" s="83" t="s">
        <v>0</v>
      </c>
      <c r="C4" s="83"/>
      <c r="D4" s="84" t="s">
        <v>1</v>
      </c>
      <c r="E4" s="84"/>
      <c r="F4" s="85" t="s">
        <v>2</v>
      </c>
      <c r="G4" s="85"/>
      <c r="H4" s="84" t="s">
        <v>3</v>
      </c>
      <c r="I4" s="84"/>
      <c r="J4" s="82" t="s">
        <v>111</v>
      </c>
      <c r="K4" s="82"/>
      <c r="L4" s="82" t="s">
        <v>4</v>
      </c>
      <c r="M4" s="82" t="s">
        <v>6</v>
      </c>
      <c r="N4"/>
      <c r="O4"/>
      <c r="P4"/>
      <c r="Q4"/>
      <c r="R4"/>
      <c r="S4"/>
      <c r="T4"/>
      <c r="U4"/>
      <c r="V4"/>
      <c r="W4"/>
      <c r="X4"/>
      <c r="Y4"/>
    </row>
    <row r="5" spans="1:25" s="55" customFormat="1" ht="15" customHeight="1" x14ac:dyDescent="0.3">
      <c r="A5" s="101" t="s">
        <v>5</v>
      </c>
      <c r="B5" s="100" t="s">
        <v>7</v>
      </c>
      <c r="C5" s="100" t="s">
        <v>8</v>
      </c>
      <c r="D5" s="100" t="s">
        <v>7</v>
      </c>
      <c r="E5" s="100" t="s">
        <v>8</v>
      </c>
      <c r="F5" s="100" t="s">
        <v>7</v>
      </c>
      <c r="G5" s="100" t="s">
        <v>8</v>
      </c>
      <c r="H5" s="100" t="s">
        <v>7</v>
      </c>
      <c r="I5" s="100" t="s">
        <v>8</v>
      </c>
      <c r="J5" s="100" t="s">
        <v>7</v>
      </c>
      <c r="K5" s="100" t="s">
        <v>8</v>
      </c>
      <c r="L5" s="100"/>
      <c r="M5" s="100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 ht="15" customHeight="1" x14ac:dyDescent="0.3">
      <c r="A6" s="87" t="s">
        <v>9</v>
      </c>
      <c r="B6" s="88">
        <v>2095</v>
      </c>
      <c r="C6" s="98">
        <v>0.90731918579471638</v>
      </c>
      <c r="D6" s="88">
        <v>51</v>
      </c>
      <c r="E6" s="98">
        <v>2.2087483759203119E-2</v>
      </c>
      <c r="F6" s="88">
        <v>48</v>
      </c>
      <c r="G6" s="98">
        <v>2.0788220008661758E-2</v>
      </c>
      <c r="H6" s="88">
        <v>31</v>
      </c>
      <c r="I6" s="98">
        <v>1.3425725422260719E-2</v>
      </c>
      <c r="J6" s="88">
        <v>45</v>
      </c>
      <c r="K6" s="98">
        <v>1.9488956258120398E-2</v>
      </c>
      <c r="L6" s="88">
        <v>2270</v>
      </c>
      <c r="M6" s="89">
        <v>0.98310957124296228</v>
      </c>
      <c r="N6"/>
      <c r="O6"/>
      <c r="P6"/>
      <c r="Q6"/>
      <c r="R6"/>
      <c r="S6"/>
      <c r="T6"/>
      <c r="U6"/>
      <c r="V6"/>
      <c r="W6"/>
      <c r="X6"/>
      <c r="Y6"/>
    </row>
    <row r="7" spans="1:25" ht="15" customHeight="1" x14ac:dyDescent="0.3">
      <c r="A7" s="87" t="s">
        <v>10</v>
      </c>
      <c r="B7" s="88">
        <v>24</v>
      </c>
      <c r="C7" s="98">
        <v>1.0394110004330879E-2</v>
      </c>
      <c r="D7" s="88">
        <v>0</v>
      </c>
      <c r="E7" s="98">
        <v>0</v>
      </c>
      <c r="F7" s="88">
        <v>15</v>
      </c>
      <c r="G7" s="98">
        <v>6.4963187527067997E-3</v>
      </c>
      <c r="H7" s="88"/>
      <c r="I7" s="98">
        <v>0</v>
      </c>
      <c r="J7" s="88"/>
      <c r="K7" s="98">
        <v>0</v>
      </c>
      <c r="L7" s="88">
        <v>39</v>
      </c>
      <c r="M7" s="89">
        <v>1.6890428757037678E-2</v>
      </c>
      <c r="N7"/>
      <c r="O7"/>
      <c r="P7"/>
      <c r="Q7"/>
      <c r="R7"/>
      <c r="S7"/>
      <c r="T7"/>
      <c r="U7"/>
      <c r="V7"/>
      <c r="W7"/>
      <c r="X7"/>
      <c r="Y7"/>
    </row>
    <row r="8" spans="1:25" ht="15" customHeight="1" x14ac:dyDescent="0.3">
      <c r="A8" s="87" t="s">
        <v>11</v>
      </c>
      <c r="B8" s="88">
        <v>2119</v>
      </c>
      <c r="C8" s="98">
        <v>0.91771329579904726</v>
      </c>
      <c r="D8" s="88">
        <v>51</v>
      </c>
      <c r="E8" s="98">
        <v>2.2087483759203119E-2</v>
      </c>
      <c r="F8" s="88">
        <v>63</v>
      </c>
      <c r="G8" s="98">
        <v>2.7284538761368559E-2</v>
      </c>
      <c r="H8" s="88">
        <v>31</v>
      </c>
      <c r="I8" s="98">
        <v>1.3425725422260719E-2</v>
      </c>
      <c r="J8" s="88">
        <v>45</v>
      </c>
      <c r="K8" s="98">
        <v>1.9488956258120398E-2</v>
      </c>
      <c r="L8" s="88">
        <v>2309</v>
      </c>
      <c r="M8" s="89">
        <v>1</v>
      </c>
      <c r="N8"/>
      <c r="O8"/>
      <c r="P8"/>
      <c r="Q8"/>
      <c r="R8"/>
      <c r="S8"/>
      <c r="T8"/>
      <c r="U8"/>
      <c r="V8"/>
      <c r="W8"/>
      <c r="X8"/>
      <c r="Y8"/>
    </row>
    <row r="9" spans="1:25" ht="15" customHeight="1" x14ac:dyDescent="0.25">
      <c r="A9" s="65" t="s">
        <v>12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</row>
    <row r="10" spans="1:25" ht="22.5" customHeight="1" x14ac:dyDescent="0.25">
      <c r="A10" s="5"/>
      <c r="B10" s="64" t="s">
        <v>0</v>
      </c>
      <c r="C10" s="64"/>
      <c r="D10" s="64" t="s">
        <v>1</v>
      </c>
      <c r="E10" s="64"/>
      <c r="F10" s="64" t="s">
        <v>2</v>
      </c>
      <c r="G10" s="64"/>
      <c r="H10" s="64" t="s">
        <v>3</v>
      </c>
      <c r="I10" s="64"/>
      <c r="J10" s="64" t="s">
        <v>115</v>
      </c>
      <c r="K10" s="64"/>
      <c r="L10" s="5" t="s">
        <v>4</v>
      </c>
    </row>
    <row r="11" spans="1:25" ht="15" hidden="1" customHeight="1" x14ac:dyDescent="0.25">
      <c r="A11" s="5"/>
      <c r="B11" s="64" t="s">
        <v>0</v>
      </c>
      <c r="C11" s="64"/>
      <c r="D11" s="64" t="s">
        <v>1</v>
      </c>
      <c r="E11" s="64"/>
      <c r="F11" s="64" t="s">
        <v>2</v>
      </c>
      <c r="G11" s="64"/>
      <c r="H11" s="64" t="s">
        <v>3</v>
      </c>
      <c r="I11" s="64"/>
      <c r="J11" s="64" t="s">
        <v>115</v>
      </c>
      <c r="K11" s="64"/>
      <c r="L11" s="5" t="s">
        <v>4</v>
      </c>
      <c r="M11" s="5"/>
    </row>
    <row r="12" spans="1:25" ht="15" hidden="1" customHeight="1" x14ac:dyDescent="0.3">
      <c r="A12" s="81"/>
      <c r="B12" s="92" t="s">
        <v>5</v>
      </c>
      <c r="C12" s="93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/>
      <c r="O12"/>
      <c r="P12"/>
      <c r="Q12"/>
      <c r="R12"/>
      <c r="S12"/>
      <c r="T12"/>
      <c r="U12"/>
      <c r="V12"/>
      <c r="W12"/>
      <c r="X12"/>
      <c r="Y12"/>
    </row>
    <row r="13" spans="1:25" ht="15" hidden="1" customHeight="1" x14ac:dyDescent="0.3">
      <c r="A13" s="91"/>
      <c r="B13" s="83" t="s">
        <v>0</v>
      </c>
      <c r="C13" s="83"/>
      <c r="D13" s="84" t="s">
        <v>1</v>
      </c>
      <c r="E13" s="84"/>
      <c r="F13" s="85" t="s">
        <v>2</v>
      </c>
      <c r="G13" s="85"/>
      <c r="H13" s="84" t="s">
        <v>3</v>
      </c>
      <c r="I13" s="84"/>
      <c r="J13" s="82" t="s">
        <v>111</v>
      </c>
      <c r="K13" s="82"/>
      <c r="L13" s="82" t="s">
        <v>4</v>
      </c>
      <c r="M13" s="82" t="s">
        <v>6</v>
      </c>
      <c r="N13"/>
      <c r="O13"/>
      <c r="P13"/>
      <c r="Q13"/>
      <c r="R13"/>
      <c r="S13"/>
      <c r="T13"/>
      <c r="U13"/>
      <c r="V13"/>
      <c r="W13"/>
      <c r="X13"/>
      <c r="Y13"/>
    </row>
    <row r="14" spans="1:25" s="55" customFormat="1" ht="15" customHeight="1" x14ac:dyDescent="0.3">
      <c r="A14" s="100" t="s">
        <v>5</v>
      </c>
      <c r="B14" s="100" t="s">
        <v>7</v>
      </c>
      <c r="C14" s="100" t="s">
        <v>8</v>
      </c>
      <c r="D14" s="100" t="s">
        <v>7</v>
      </c>
      <c r="E14" s="100" t="s">
        <v>8</v>
      </c>
      <c r="F14" s="100" t="s">
        <v>7</v>
      </c>
      <c r="G14" s="100" t="s">
        <v>8</v>
      </c>
      <c r="H14" s="100" t="s">
        <v>7</v>
      </c>
      <c r="I14" s="100" t="s">
        <v>8</v>
      </c>
      <c r="J14" s="100" t="s">
        <v>7</v>
      </c>
      <c r="K14" s="100" t="s">
        <v>8</v>
      </c>
      <c r="L14" s="100"/>
      <c r="M14" s="100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spans="1:25" ht="15" customHeight="1" x14ac:dyDescent="0.3">
      <c r="A15" s="87" t="s">
        <v>13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/>
      <c r="O15"/>
      <c r="P15"/>
      <c r="Q15"/>
      <c r="R15"/>
      <c r="S15"/>
      <c r="T15"/>
      <c r="U15"/>
      <c r="V15"/>
      <c r="W15"/>
      <c r="X15"/>
      <c r="Y15"/>
    </row>
    <row r="16" spans="1:25" s="56" customFormat="1" ht="15" customHeight="1" x14ac:dyDescent="0.3">
      <c r="A16" s="97" t="s">
        <v>14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/>
      <c r="O16"/>
      <c r="P16"/>
      <c r="Q16"/>
      <c r="R16"/>
      <c r="S16"/>
      <c r="T16"/>
      <c r="U16"/>
      <c r="V16"/>
      <c r="W16"/>
      <c r="X16"/>
      <c r="Y16"/>
    </row>
    <row r="17" spans="1:25" ht="15" customHeight="1" x14ac:dyDescent="0.3">
      <c r="A17" s="90" t="s">
        <v>9</v>
      </c>
      <c r="B17" s="88">
        <v>10</v>
      </c>
      <c r="C17" s="98">
        <v>0.90909090909090906</v>
      </c>
      <c r="D17" s="88"/>
      <c r="E17" s="98">
        <v>0</v>
      </c>
      <c r="F17" s="88"/>
      <c r="G17" s="98">
        <v>0</v>
      </c>
      <c r="H17" s="88">
        <v>1</v>
      </c>
      <c r="I17" s="98">
        <v>9.0909090909090912E-2</v>
      </c>
      <c r="J17" s="88"/>
      <c r="K17" s="98">
        <v>0</v>
      </c>
      <c r="L17" s="88">
        <v>11</v>
      </c>
      <c r="M17" s="89">
        <v>1</v>
      </c>
      <c r="N17"/>
      <c r="O17"/>
      <c r="P17"/>
      <c r="Q17"/>
      <c r="R17"/>
      <c r="S17"/>
      <c r="T17"/>
      <c r="U17"/>
      <c r="V17"/>
      <c r="W17"/>
      <c r="X17"/>
      <c r="Y17"/>
    </row>
    <row r="18" spans="1:25" ht="15" customHeight="1" x14ac:dyDescent="0.3">
      <c r="A18" s="90" t="s">
        <v>10</v>
      </c>
      <c r="B18" s="88">
        <v>0</v>
      </c>
      <c r="C18" s="98"/>
      <c r="D18" s="88"/>
      <c r="E18" s="98"/>
      <c r="F18" s="88"/>
      <c r="G18" s="98"/>
      <c r="H18" s="88"/>
      <c r="I18" s="98"/>
      <c r="J18" s="88"/>
      <c r="K18" s="98"/>
      <c r="L18" s="88">
        <v>0</v>
      </c>
      <c r="M18" s="89"/>
      <c r="N18"/>
      <c r="O18"/>
      <c r="P18"/>
      <c r="Q18"/>
      <c r="R18"/>
      <c r="S18"/>
      <c r="T18"/>
      <c r="U18"/>
      <c r="V18"/>
      <c r="W18"/>
      <c r="X18"/>
      <c r="Y18"/>
    </row>
    <row r="19" spans="1:25" s="56" customFormat="1" ht="15" customHeight="1" x14ac:dyDescent="0.3">
      <c r="A19" s="97" t="s">
        <v>15</v>
      </c>
      <c r="B19" s="95">
        <v>10</v>
      </c>
      <c r="C19" s="99">
        <v>0.90909090909090906</v>
      </c>
      <c r="D19" s="95"/>
      <c r="E19" s="99">
        <v>0</v>
      </c>
      <c r="F19" s="95"/>
      <c r="G19" s="99">
        <v>0</v>
      </c>
      <c r="H19" s="95">
        <v>1</v>
      </c>
      <c r="I19" s="99">
        <v>9.0909090909090912E-2</v>
      </c>
      <c r="J19" s="95"/>
      <c r="K19" s="99">
        <v>0</v>
      </c>
      <c r="L19" s="95">
        <v>11</v>
      </c>
      <c r="M19" s="96">
        <v>1</v>
      </c>
      <c r="N19"/>
      <c r="O19"/>
      <c r="P19"/>
      <c r="Q19"/>
      <c r="R19"/>
      <c r="S19"/>
      <c r="T19"/>
      <c r="U19"/>
      <c r="V19"/>
      <c r="W19"/>
      <c r="X19"/>
      <c r="Y19"/>
    </row>
    <row r="20" spans="1:25" ht="15" customHeight="1" x14ac:dyDescent="0.3">
      <c r="A20" s="84"/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/>
      <c r="O20"/>
      <c r="P20"/>
      <c r="Q20"/>
      <c r="R20"/>
      <c r="S20"/>
      <c r="T20"/>
      <c r="U20"/>
      <c r="V20"/>
      <c r="W20"/>
      <c r="X20"/>
      <c r="Y20"/>
    </row>
    <row r="21" spans="1:25" ht="15" customHeight="1" x14ac:dyDescent="0.3">
      <c r="A21" s="84" t="s">
        <v>16</v>
      </c>
      <c r="B21" s="88"/>
      <c r="C21" s="89"/>
      <c r="D21" s="88"/>
      <c r="E21" s="89"/>
      <c r="F21" s="88"/>
      <c r="G21" s="89"/>
      <c r="H21" s="88"/>
      <c r="I21" s="89"/>
      <c r="J21" s="88"/>
      <c r="K21" s="89"/>
      <c r="L21" s="88"/>
      <c r="M21" s="89"/>
      <c r="N21"/>
      <c r="O21"/>
      <c r="P21"/>
      <c r="Q21"/>
      <c r="R21"/>
      <c r="S21"/>
      <c r="T21"/>
      <c r="U21"/>
      <c r="V21"/>
      <c r="W21"/>
      <c r="X21"/>
      <c r="Y21"/>
    </row>
    <row r="22" spans="1:25" ht="15" customHeight="1" x14ac:dyDescent="0.3">
      <c r="A22" s="90" t="s">
        <v>9</v>
      </c>
      <c r="B22" s="88">
        <v>18</v>
      </c>
      <c r="C22" s="98">
        <v>0.94736842105263153</v>
      </c>
      <c r="D22" s="88"/>
      <c r="E22" s="98">
        <v>0</v>
      </c>
      <c r="F22" s="88"/>
      <c r="G22" s="98">
        <v>0</v>
      </c>
      <c r="H22" s="88">
        <v>1</v>
      </c>
      <c r="I22" s="98">
        <v>5.2631578947368418E-2</v>
      </c>
      <c r="J22" s="88"/>
      <c r="K22" s="98">
        <v>0</v>
      </c>
      <c r="L22" s="88">
        <v>19</v>
      </c>
      <c r="M22" s="89">
        <v>1</v>
      </c>
      <c r="N22"/>
      <c r="O22"/>
      <c r="P22"/>
      <c r="Q22"/>
      <c r="R22"/>
      <c r="S22"/>
      <c r="T22"/>
      <c r="U22"/>
      <c r="V22"/>
      <c r="W22"/>
      <c r="X22"/>
      <c r="Y22"/>
    </row>
    <row r="23" spans="1:25" ht="15" customHeight="1" x14ac:dyDescent="0.3">
      <c r="A23" s="90" t="s">
        <v>10</v>
      </c>
      <c r="B23" s="88">
        <v>0</v>
      </c>
      <c r="C23" s="98"/>
      <c r="D23" s="88"/>
      <c r="E23" s="98"/>
      <c r="F23" s="88"/>
      <c r="G23" s="98"/>
      <c r="H23" s="88"/>
      <c r="I23" s="98"/>
      <c r="J23" s="88"/>
      <c r="K23" s="98"/>
      <c r="L23" s="88">
        <v>0</v>
      </c>
      <c r="M23" s="89"/>
      <c r="N23"/>
      <c r="O23"/>
      <c r="P23"/>
      <c r="Q23"/>
      <c r="R23"/>
      <c r="S23"/>
      <c r="T23"/>
      <c r="U23"/>
      <c r="V23"/>
      <c r="W23"/>
      <c r="X23"/>
      <c r="Y23"/>
    </row>
    <row r="24" spans="1:25" ht="15" customHeight="1" x14ac:dyDescent="0.3">
      <c r="A24" s="84" t="s">
        <v>17</v>
      </c>
      <c r="B24" s="88">
        <v>18</v>
      </c>
      <c r="C24" s="98">
        <v>0.94736842105263153</v>
      </c>
      <c r="D24" s="88"/>
      <c r="E24" s="98">
        <v>0</v>
      </c>
      <c r="F24" s="88"/>
      <c r="G24" s="98">
        <v>0</v>
      </c>
      <c r="H24" s="88">
        <v>1</v>
      </c>
      <c r="I24" s="98">
        <v>5.2631578947368418E-2</v>
      </c>
      <c r="J24" s="88"/>
      <c r="K24" s="98">
        <v>0</v>
      </c>
      <c r="L24" s="88">
        <v>19</v>
      </c>
      <c r="M24" s="89">
        <v>1</v>
      </c>
      <c r="N24"/>
      <c r="O24"/>
      <c r="P24"/>
      <c r="Q24"/>
      <c r="R24"/>
      <c r="S24"/>
      <c r="T24"/>
      <c r="U24"/>
      <c r="V24"/>
      <c r="W24"/>
      <c r="X24"/>
      <c r="Y24"/>
    </row>
    <row r="25" spans="1:25" ht="15" customHeight="1" x14ac:dyDescent="0.3">
      <c r="A25" s="84"/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/>
      <c r="O25"/>
      <c r="P25"/>
      <c r="Q25"/>
      <c r="R25"/>
      <c r="S25"/>
      <c r="T25"/>
      <c r="U25"/>
      <c r="V25"/>
      <c r="W25"/>
      <c r="X25"/>
      <c r="Y25"/>
    </row>
    <row r="26" spans="1:25" ht="15" customHeight="1" x14ac:dyDescent="0.3">
      <c r="A26" s="84" t="s">
        <v>18</v>
      </c>
      <c r="B26" s="88"/>
      <c r="C26" s="89"/>
      <c r="D26" s="88"/>
      <c r="E26" s="89"/>
      <c r="F26" s="88"/>
      <c r="G26" s="89"/>
      <c r="H26" s="88"/>
      <c r="I26" s="89"/>
      <c r="J26" s="88"/>
      <c r="K26" s="89"/>
      <c r="L26" s="88"/>
      <c r="M26" s="89"/>
      <c r="N26"/>
      <c r="O26"/>
      <c r="P26"/>
      <c r="Q26"/>
      <c r="R26"/>
      <c r="S26"/>
      <c r="T26"/>
      <c r="U26"/>
      <c r="V26"/>
      <c r="W26"/>
      <c r="X26"/>
      <c r="Y26"/>
    </row>
    <row r="27" spans="1:25" ht="15" customHeight="1" x14ac:dyDescent="0.3">
      <c r="A27" s="90" t="s">
        <v>9</v>
      </c>
      <c r="B27" s="88">
        <v>19</v>
      </c>
      <c r="C27" s="98">
        <v>0.86363636363636365</v>
      </c>
      <c r="D27" s="88">
        <v>1</v>
      </c>
      <c r="E27" s="98">
        <v>4.5454545454545456E-2</v>
      </c>
      <c r="F27" s="88"/>
      <c r="G27" s="98">
        <v>0</v>
      </c>
      <c r="H27" s="88">
        <v>1</v>
      </c>
      <c r="I27" s="98">
        <v>4.5454545454545456E-2</v>
      </c>
      <c r="J27" s="88">
        <v>1</v>
      </c>
      <c r="K27" s="98">
        <v>4.5454545454545456E-2</v>
      </c>
      <c r="L27" s="88">
        <v>22</v>
      </c>
      <c r="M27" s="89">
        <v>1</v>
      </c>
      <c r="N27"/>
      <c r="O27"/>
      <c r="P27"/>
      <c r="Q27"/>
      <c r="R27"/>
      <c r="S27"/>
      <c r="T27"/>
      <c r="U27"/>
      <c r="V27"/>
      <c r="W27"/>
      <c r="X27"/>
      <c r="Y27"/>
    </row>
    <row r="28" spans="1:25" ht="15" customHeight="1" x14ac:dyDescent="0.3">
      <c r="A28" s="90" t="s">
        <v>10</v>
      </c>
      <c r="B28" s="88">
        <v>0</v>
      </c>
      <c r="C28" s="98"/>
      <c r="D28" s="88"/>
      <c r="E28" s="98"/>
      <c r="F28" s="88"/>
      <c r="G28" s="98"/>
      <c r="H28" s="88"/>
      <c r="I28" s="98"/>
      <c r="J28" s="88"/>
      <c r="K28" s="98"/>
      <c r="L28" s="88">
        <v>0</v>
      </c>
      <c r="M28" s="89"/>
      <c r="N28"/>
      <c r="O28"/>
      <c r="P28"/>
      <c r="Q28"/>
      <c r="R28"/>
      <c r="S28"/>
      <c r="T28"/>
      <c r="U28"/>
      <c r="V28"/>
      <c r="W28"/>
      <c r="X28"/>
      <c r="Y28"/>
    </row>
    <row r="29" spans="1:25" ht="15" customHeight="1" x14ac:dyDescent="0.3">
      <c r="A29" s="84" t="s">
        <v>19</v>
      </c>
      <c r="B29" s="88">
        <v>19</v>
      </c>
      <c r="C29" s="98">
        <v>0.86363636363636365</v>
      </c>
      <c r="D29" s="88">
        <v>1</v>
      </c>
      <c r="E29" s="98">
        <v>4.5454545454545456E-2</v>
      </c>
      <c r="F29" s="88"/>
      <c r="G29" s="98">
        <v>0</v>
      </c>
      <c r="H29" s="88">
        <v>1</v>
      </c>
      <c r="I29" s="98">
        <v>4.5454545454545456E-2</v>
      </c>
      <c r="J29" s="88">
        <v>1</v>
      </c>
      <c r="K29" s="98">
        <v>4.5454545454545456E-2</v>
      </c>
      <c r="L29" s="88">
        <v>22</v>
      </c>
      <c r="M29" s="89">
        <v>1</v>
      </c>
      <c r="N29"/>
      <c r="O29"/>
      <c r="P29"/>
      <c r="Q29"/>
      <c r="R29"/>
      <c r="S29"/>
      <c r="T29"/>
      <c r="U29"/>
      <c r="V29"/>
      <c r="W29"/>
      <c r="X29"/>
      <c r="Y29"/>
    </row>
    <row r="30" spans="1:25" ht="15" customHeight="1" x14ac:dyDescent="0.3">
      <c r="A30" s="84"/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/>
      <c r="M30" s="89"/>
      <c r="N30"/>
      <c r="O30"/>
      <c r="P30"/>
      <c r="Q30"/>
      <c r="R30"/>
      <c r="S30"/>
      <c r="T30"/>
      <c r="U30"/>
      <c r="V30"/>
      <c r="W30"/>
      <c r="X30"/>
      <c r="Y30"/>
    </row>
    <row r="31" spans="1:25" ht="15" customHeight="1" x14ac:dyDescent="0.3">
      <c r="A31" s="84" t="s">
        <v>20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/>
      <c r="O31"/>
      <c r="P31"/>
      <c r="Q31"/>
      <c r="R31"/>
      <c r="S31"/>
      <c r="T31"/>
      <c r="U31"/>
      <c r="V31"/>
      <c r="W31"/>
      <c r="X31"/>
      <c r="Y31"/>
    </row>
    <row r="32" spans="1:25" ht="15" customHeight="1" x14ac:dyDescent="0.3">
      <c r="A32" s="90" t="s">
        <v>9</v>
      </c>
      <c r="B32" s="88">
        <v>37</v>
      </c>
      <c r="C32" s="98">
        <v>0.92500000000000004</v>
      </c>
      <c r="D32" s="88">
        <v>1</v>
      </c>
      <c r="E32" s="98">
        <v>2.5000000000000001E-2</v>
      </c>
      <c r="F32" s="88"/>
      <c r="G32" s="98">
        <v>0</v>
      </c>
      <c r="H32" s="88">
        <v>1</v>
      </c>
      <c r="I32" s="98">
        <v>2.5000000000000001E-2</v>
      </c>
      <c r="J32" s="88">
        <v>1</v>
      </c>
      <c r="K32" s="98">
        <v>2.5000000000000001E-2</v>
      </c>
      <c r="L32" s="88">
        <v>40</v>
      </c>
      <c r="M32" s="89">
        <v>1</v>
      </c>
      <c r="N32"/>
      <c r="O32"/>
      <c r="P32"/>
      <c r="Q32"/>
      <c r="R32"/>
      <c r="S32"/>
      <c r="T32"/>
      <c r="U32"/>
      <c r="V32"/>
      <c r="W32"/>
      <c r="X32"/>
      <c r="Y32"/>
    </row>
    <row r="33" spans="1:25" ht="15" customHeight="1" x14ac:dyDescent="0.3">
      <c r="A33" s="90" t="s">
        <v>10</v>
      </c>
      <c r="B33" s="88">
        <v>0</v>
      </c>
      <c r="C33" s="98"/>
      <c r="D33" s="88"/>
      <c r="E33" s="98"/>
      <c r="F33" s="88"/>
      <c r="G33" s="98"/>
      <c r="H33" s="88"/>
      <c r="I33" s="98"/>
      <c r="J33" s="88"/>
      <c r="K33" s="98"/>
      <c r="L33" s="88">
        <v>0</v>
      </c>
      <c r="M33" s="89"/>
      <c r="N33"/>
      <c r="O33"/>
      <c r="P33"/>
      <c r="Q33"/>
      <c r="R33"/>
      <c r="S33"/>
      <c r="T33"/>
      <c r="U33"/>
      <c r="V33"/>
      <c r="W33"/>
      <c r="X33"/>
      <c r="Y33"/>
    </row>
    <row r="34" spans="1:25" ht="15" customHeight="1" x14ac:dyDescent="0.3">
      <c r="A34" s="84" t="s">
        <v>21</v>
      </c>
      <c r="B34" s="88">
        <v>37</v>
      </c>
      <c r="C34" s="98">
        <v>0.92500000000000004</v>
      </c>
      <c r="D34" s="88">
        <v>1</v>
      </c>
      <c r="E34" s="98">
        <v>2.5000000000000001E-2</v>
      </c>
      <c r="F34" s="88"/>
      <c r="G34" s="98">
        <v>0</v>
      </c>
      <c r="H34" s="88">
        <v>1</v>
      </c>
      <c r="I34" s="98">
        <v>2.5000000000000001E-2</v>
      </c>
      <c r="J34" s="88">
        <v>1</v>
      </c>
      <c r="K34" s="98">
        <v>2.5000000000000001E-2</v>
      </c>
      <c r="L34" s="88">
        <v>40</v>
      </c>
      <c r="M34" s="89">
        <v>1</v>
      </c>
      <c r="N34"/>
      <c r="O34"/>
      <c r="P34"/>
      <c r="Q34"/>
      <c r="R34"/>
      <c r="S34"/>
      <c r="T34"/>
      <c r="U34"/>
      <c r="V34"/>
      <c r="W34"/>
      <c r="X34"/>
      <c r="Y34"/>
    </row>
    <row r="35" spans="1:25" ht="15" customHeight="1" x14ac:dyDescent="0.3">
      <c r="A35" s="84"/>
      <c r="B35" s="88"/>
      <c r="C35" s="89"/>
      <c r="D35" s="88"/>
      <c r="E35" s="89"/>
      <c r="F35" s="88"/>
      <c r="G35" s="89"/>
      <c r="H35" s="88"/>
      <c r="I35" s="89"/>
      <c r="J35" s="88"/>
      <c r="K35" s="89"/>
      <c r="L35" s="88"/>
      <c r="M35" s="89"/>
      <c r="N35"/>
      <c r="O35"/>
      <c r="P35"/>
      <c r="Q35"/>
      <c r="R35"/>
      <c r="S35"/>
      <c r="T35"/>
      <c r="U35"/>
      <c r="V35"/>
      <c r="W35"/>
      <c r="X35"/>
      <c r="Y35"/>
    </row>
    <row r="36" spans="1:25" ht="15" customHeight="1" x14ac:dyDescent="0.3">
      <c r="A36" s="84" t="s">
        <v>22</v>
      </c>
      <c r="B36" s="88"/>
      <c r="C36" s="89"/>
      <c r="D36" s="88"/>
      <c r="E36" s="89"/>
      <c r="F36" s="88"/>
      <c r="G36" s="89"/>
      <c r="H36" s="88"/>
      <c r="I36" s="89"/>
      <c r="J36" s="88"/>
      <c r="K36" s="89"/>
      <c r="L36" s="88"/>
      <c r="M36" s="89"/>
      <c r="N36"/>
      <c r="O36"/>
      <c r="P36"/>
      <c r="Q36"/>
      <c r="R36"/>
      <c r="S36"/>
      <c r="T36"/>
      <c r="U36"/>
      <c r="V36"/>
      <c r="W36"/>
      <c r="X36"/>
      <c r="Y36"/>
    </row>
    <row r="37" spans="1:25" ht="15" customHeight="1" x14ac:dyDescent="0.3">
      <c r="A37" s="90" t="s">
        <v>9</v>
      </c>
      <c r="B37" s="88">
        <v>27</v>
      </c>
      <c r="C37" s="98">
        <v>0.9</v>
      </c>
      <c r="D37" s="88">
        <v>1</v>
      </c>
      <c r="E37" s="98">
        <v>3.3333333333333333E-2</v>
      </c>
      <c r="F37" s="88"/>
      <c r="G37" s="98">
        <v>0</v>
      </c>
      <c r="H37" s="88">
        <v>1</v>
      </c>
      <c r="I37" s="98">
        <v>3.3333333333333333E-2</v>
      </c>
      <c r="J37" s="88">
        <v>1</v>
      </c>
      <c r="K37" s="98">
        <v>3.3333333333333333E-2</v>
      </c>
      <c r="L37" s="88">
        <v>30</v>
      </c>
      <c r="M37" s="89">
        <v>1</v>
      </c>
      <c r="N37"/>
      <c r="O37"/>
      <c r="P37"/>
      <c r="Q37"/>
      <c r="R37"/>
      <c r="S37"/>
      <c r="T37"/>
      <c r="U37"/>
      <c r="V37"/>
      <c r="W37"/>
      <c r="X37"/>
      <c r="Y37"/>
    </row>
    <row r="38" spans="1:25" ht="15" customHeight="1" x14ac:dyDescent="0.3">
      <c r="A38" s="90" t="s">
        <v>10</v>
      </c>
      <c r="B38" s="88">
        <v>0</v>
      </c>
      <c r="C38" s="98"/>
      <c r="D38" s="88"/>
      <c r="E38" s="98"/>
      <c r="F38" s="88"/>
      <c r="G38" s="98"/>
      <c r="H38" s="88"/>
      <c r="I38" s="98"/>
      <c r="J38" s="88"/>
      <c r="K38" s="98"/>
      <c r="L38" s="88">
        <v>0</v>
      </c>
      <c r="M38" s="89"/>
      <c r="N38"/>
      <c r="O38"/>
      <c r="P38"/>
      <c r="Q38"/>
      <c r="R38"/>
      <c r="S38"/>
      <c r="T38"/>
      <c r="U38"/>
      <c r="V38"/>
      <c r="W38"/>
      <c r="X38"/>
      <c r="Y38"/>
    </row>
    <row r="39" spans="1:25" ht="15" customHeight="1" x14ac:dyDescent="0.3">
      <c r="A39" s="84" t="s">
        <v>23</v>
      </c>
      <c r="B39" s="88">
        <v>27</v>
      </c>
      <c r="C39" s="98">
        <v>0.9</v>
      </c>
      <c r="D39" s="88">
        <v>1</v>
      </c>
      <c r="E39" s="98">
        <v>3.3333333333333333E-2</v>
      </c>
      <c r="F39" s="88"/>
      <c r="G39" s="98">
        <v>0</v>
      </c>
      <c r="H39" s="88">
        <v>1</v>
      </c>
      <c r="I39" s="98">
        <v>3.3333333333333333E-2</v>
      </c>
      <c r="J39" s="88">
        <v>1</v>
      </c>
      <c r="K39" s="98">
        <v>3.3333333333333333E-2</v>
      </c>
      <c r="L39" s="88">
        <v>30</v>
      </c>
      <c r="M39" s="89">
        <v>1</v>
      </c>
      <c r="N39"/>
      <c r="O39"/>
      <c r="P39"/>
      <c r="Q39"/>
      <c r="R39"/>
      <c r="S39"/>
      <c r="T39"/>
      <c r="U39"/>
      <c r="V39"/>
      <c r="W39"/>
      <c r="X39"/>
      <c r="Y39"/>
    </row>
    <row r="40" spans="1:25" ht="15" customHeight="1" x14ac:dyDescent="0.3">
      <c r="A40" s="84"/>
      <c r="B40" s="88"/>
      <c r="C40" s="89"/>
      <c r="D40" s="88"/>
      <c r="E40" s="89"/>
      <c r="F40" s="88"/>
      <c r="G40" s="89"/>
      <c r="H40" s="88"/>
      <c r="I40" s="89"/>
      <c r="J40" s="88"/>
      <c r="K40" s="89"/>
      <c r="L40" s="88"/>
      <c r="M40" s="89"/>
      <c r="N40"/>
      <c r="O40"/>
      <c r="P40"/>
      <c r="Q40"/>
      <c r="R40"/>
      <c r="S40"/>
      <c r="T40"/>
      <c r="U40"/>
      <c r="V40"/>
      <c r="W40"/>
      <c r="X40"/>
      <c r="Y40"/>
    </row>
    <row r="41" spans="1:25" ht="15" customHeight="1" x14ac:dyDescent="0.3">
      <c r="A41" s="84" t="s">
        <v>24</v>
      </c>
      <c r="B41" s="88"/>
      <c r="C41" s="89"/>
      <c r="D41" s="88"/>
      <c r="E41" s="89"/>
      <c r="F41" s="88"/>
      <c r="G41" s="89"/>
      <c r="H41" s="88"/>
      <c r="I41" s="89"/>
      <c r="J41" s="88"/>
      <c r="K41" s="89"/>
      <c r="L41" s="88"/>
      <c r="M41" s="89"/>
      <c r="N41"/>
      <c r="O41"/>
      <c r="P41"/>
      <c r="Q41"/>
      <c r="R41"/>
      <c r="S41"/>
      <c r="T41"/>
      <c r="U41"/>
      <c r="V41"/>
      <c r="W41"/>
      <c r="X41"/>
      <c r="Y41"/>
    </row>
    <row r="42" spans="1:25" ht="15" customHeight="1" x14ac:dyDescent="0.3">
      <c r="A42" s="90" t="s">
        <v>9</v>
      </c>
      <c r="B42" s="88">
        <v>34</v>
      </c>
      <c r="C42" s="98">
        <v>0.87179487179487181</v>
      </c>
      <c r="D42" s="88">
        <v>3</v>
      </c>
      <c r="E42" s="98">
        <v>7.6923076923076927E-2</v>
      </c>
      <c r="F42" s="88"/>
      <c r="G42" s="98">
        <v>0</v>
      </c>
      <c r="H42" s="88">
        <v>1</v>
      </c>
      <c r="I42" s="98">
        <v>2.564102564102564E-2</v>
      </c>
      <c r="J42" s="88">
        <v>1</v>
      </c>
      <c r="K42" s="98">
        <v>2.564102564102564E-2</v>
      </c>
      <c r="L42" s="88">
        <v>39</v>
      </c>
      <c r="M42" s="89">
        <v>1</v>
      </c>
      <c r="N42"/>
      <c r="O42"/>
      <c r="P42"/>
      <c r="Q42"/>
      <c r="R42"/>
      <c r="S42"/>
      <c r="T42"/>
      <c r="U42"/>
      <c r="V42"/>
      <c r="W42"/>
      <c r="X42"/>
      <c r="Y42"/>
    </row>
    <row r="43" spans="1:25" ht="15" customHeight="1" x14ac:dyDescent="0.3">
      <c r="A43" s="90" t="s">
        <v>10</v>
      </c>
      <c r="B43" s="88">
        <v>0</v>
      </c>
      <c r="C43" s="98"/>
      <c r="D43" s="88">
        <v>0</v>
      </c>
      <c r="E43" s="98"/>
      <c r="F43" s="88"/>
      <c r="G43" s="98"/>
      <c r="H43" s="88"/>
      <c r="I43" s="98"/>
      <c r="J43" s="88"/>
      <c r="K43" s="98"/>
      <c r="L43" s="88">
        <v>0</v>
      </c>
      <c r="M43" s="89"/>
      <c r="N43"/>
      <c r="O43"/>
      <c r="P43"/>
      <c r="Q43"/>
      <c r="R43"/>
      <c r="S43"/>
      <c r="T43"/>
      <c r="U43"/>
      <c r="V43"/>
      <c r="W43"/>
      <c r="X43"/>
      <c r="Y43"/>
    </row>
    <row r="44" spans="1:25" ht="15" customHeight="1" x14ac:dyDescent="0.3">
      <c r="A44" s="84" t="s">
        <v>25</v>
      </c>
      <c r="B44" s="88">
        <v>34</v>
      </c>
      <c r="C44" s="98">
        <v>0.87179487179487181</v>
      </c>
      <c r="D44" s="88">
        <v>3</v>
      </c>
      <c r="E44" s="98">
        <v>7.6923076923076927E-2</v>
      </c>
      <c r="F44" s="88"/>
      <c r="G44" s="98">
        <v>0</v>
      </c>
      <c r="H44" s="88">
        <v>1</v>
      </c>
      <c r="I44" s="98">
        <v>2.564102564102564E-2</v>
      </c>
      <c r="J44" s="88">
        <v>1</v>
      </c>
      <c r="K44" s="98">
        <v>2.564102564102564E-2</v>
      </c>
      <c r="L44" s="88">
        <v>39</v>
      </c>
      <c r="M44" s="89">
        <v>1</v>
      </c>
      <c r="N44"/>
      <c r="O44"/>
      <c r="P44"/>
      <c r="Q44"/>
      <c r="R44"/>
      <c r="S44"/>
      <c r="T44"/>
      <c r="U44"/>
      <c r="V44"/>
      <c r="W44"/>
      <c r="X44"/>
      <c r="Y44"/>
    </row>
    <row r="45" spans="1:25" ht="15" customHeight="1" x14ac:dyDescent="0.3">
      <c r="A45" s="84"/>
      <c r="B45" s="88"/>
      <c r="C45" s="89"/>
      <c r="D45" s="88"/>
      <c r="E45" s="89"/>
      <c r="F45" s="88"/>
      <c r="G45" s="89"/>
      <c r="H45" s="88"/>
      <c r="I45" s="89"/>
      <c r="J45" s="88"/>
      <c r="K45" s="89"/>
      <c r="L45" s="88"/>
      <c r="M45" s="89"/>
      <c r="N45"/>
      <c r="O45"/>
      <c r="P45"/>
      <c r="Q45"/>
      <c r="R45"/>
      <c r="S45"/>
      <c r="T45"/>
      <c r="U45"/>
      <c r="V45"/>
      <c r="W45"/>
      <c r="X45"/>
      <c r="Y45"/>
    </row>
    <row r="46" spans="1:25" ht="15" customHeight="1" x14ac:dyDescent="0.3">
      <c r="A46" s="87" t="s">
        <v>26</v>
      </c>
      <c r="B46" s="88"/>
      <c r="C46" s="89"/>
      <c r="D46" s="88"/>
      <c r="E46" s="89"/>
      <c r="F46" s="88"/>
      <c r="G46" s="89"/>
      <c r="H46" s="88"/>
      <c r="I46" s="89"/>
      <c r="J46" s="88"/>
      <c r="K46" s="89"/>
      <c r="L46" s="88"/>
      <c r="M46" s="89"/>
      <c r="N46"/>
      <c r="O46"/>
      <c r="P46"/>
      <c r="Q46"/>
      <c r="R46"/>
      <c r="S46"/>
      <c r="T46"/>
      <c r="U46"/>
      <c r="V46"/>
      <c r="W46"/>
      <c r="X46"/>
      <c r="Y46"/>
    </row>
    <row r="47" spans="1:25" ht="15" customHeight="1" x14ac:dyDescent="0.3">
      <c r="A47" s="84" t="s">
        <v>27</v>
      </c>
      <c r="B47" s="88"/>
      <c r="C47" s="89"/>
      <c r="D47" s="88"/>
      <c r="E47" s="89"/>
      <c r="F47" s="88"/>
      <c r="G47" s="89"/>
      <c r="H47" s="88"/>
      <c r="I47" s="89"/>
      <c r="J47" s="88"/>
      <c r="K47" s="89"/>
      <c r="L47" s="88"/>
      <c r="M47" s="89"/>
      <c r="N47"/>
      <c r="O47"/>
      <c r="P47"/>
      <c r="Q47"/>
      <c r="R47"/>
      <c r="S47"/>
      <c r="T47"/>
      <c r="U47"/>
      <c r="V47"/>
      <c r="W47"/>
      <c r="X47"/>
      <c r="Y47"/>
    </row>
    <row r="48" spans="1:25" ht="15" customHeight="1" x14ac:dyDescent="0.3">
      <c r="A48" s="90" t="s">
        <v>9</v>
      </c>
      <c r="B48" s="88">
        <v>49</v>
      </c>
      <c r="C48" s="98">
        <v>0.92452830188679247</v>
      </c>
      <c r="D48" s="88">
        <v>2</v>
      </c>
      <c r="E48" s="98">
        <v>3.7735849056603772E-2</v>
      </c>
      <c r="F48" s="88"/>
      <c r="G48" s="98">
        <v>0</v>
      </c>
      <c r="H48" s="88">
        <v>1</v>
      </c>
      <c r="I48" s="98">
        <v>1.8867924528301886E-2</v>
      </c>
      <c r="J48" s="88">
        <v>1</v>
      </c>
      <c r="K48" s="98">
        <v>1.8867924528301886E-2</v>
      </c>
      <c r="L48" s="88">
        <v>53</v>
      </c>
      <c r="M48" s="89">
        <v>1</v>
      </c>
      <c r="N48"/>
      <c r="O48"/>
      <c r="P48"/>
      <c r="Q48"/>
      <c r="R48"/>
      <c r="S48"/>
      <c r="T48"/>
      <c r="U48"/>
      <c r="V48"/>
      <c r="W48"/>
      <c r="X48"/>
      <c r="Y48"/>
    </row>
    <row r="49" spans="1:25" ht="15" customHeight="1" x14ac:dyDescent="0.3">
      <c r="A49" s="90" t="s">
        <v>10</v>
      </c>
      <c r="B49" s="88">
        <v>0</v>
      </c>
      <c r="C49" s="98"/>
      <c r="D49" s="88"/>
      <c r="E49" s="98"/>
      <c r="F49" s="88"/>
      <c r="G49" s="98"/>
      <c r="H49" s="88"/>
      <c r="I49" s="98"/>
      <c r="J49" s="88"/>
      <c r="K49" s="98"/>
      <c r="L49" s="88">
        <v>0</v>
      </c>
      <c r="M49" s="89"/>
      <c r="N49"/>
      <c r="O49"/>
      <c r="P49"/>
      <c r="Q49"/>
      <c r="R49"/>
      <c r="S49"/>
      <c r="T49"/>
      <c r="U49"/>
      <c r="V49"/>
      <c r="W49"/>
      <c r="X49"/>
      <c r="Y49"/>
    </row>
    <row r="50" spans="1:25" ht="15" customHeight="1" x14ac:dyDescent="0.3">
      <c r="A50" s="84" t="s">
        <v>28</v>
      </c>
      <c r="B50" s="88">
        <v>49</v>
      </c>
      <c r="C50" s="98">
        <v>0.92452830188679247</v>
      </c>
      <c r="D50" s="88">
        <v>2</v>
      </c>
      <c r="E50" s="98">
        <v>3.7735849056603772E-2</v>
      </c>
      <c r="F50" s="88"/>
      <c r="G50" s="98">
        <v>0</v>
      </c>
      <c r="H50" s="88">
        <v>1</v>
      </c>
      <c r="I50" s="98">
        <v>1.8867924528301886E-2</v>
      </c>
      <c r="J50" s="88">
        <v>1</v>
      </c>
      <c r="K50" s="98">
        <v>1.8867924528301886E-2</v>
      </c>
      <c r="L50" s="88">
        <v>53</v>
      </c>
      <c r="M50" s="89">
        <v>1</v>
      </c>
      <c r="N50"/>
      <c r="O50"/>
      <c r="P50"/>
      <c r="Q50"/>
      <c r="R50"/>
      <c r="S50"/>
      <c r="T50"/>
      <c r="U50"/>
      <c r="V50"/>
      <c r="W50"/>
      <c r="X50"/>
      <c r="Y50"/>
    </row>
    <row r="51" spans="1:25" ht="15" customHeight="1" x14ac:dyDescent="0.3">
      <c r="A51" s="84"/>
      <c r="B51" s="88"/>
      <c r="C51" s="89"/>
      <c r="D51" s="88"/>
      <c r="E51" s="89"/>
      <c r="F51" s="88"/>
      <c r="G51" s="89"/>
      <c r="H51" s="88"/>
      <c r="I51" s="89"/>
      <c r="J51" s="88"/>
      <c r="K51" s="89"/>
      <c r="L51" s="88"/>
      <c r="M51" s="89"/>
      <c r="N51"/>
      <c r="O51"/>
      <c r="P51"/>
      <c r="Q51"/>
      <c r="R51"/>
      <c r="S51"/>
      <c r="T51"/>
      <c r="U51"/>
      <c r="V51"/>
      <c r="W51"/>
      <c r="X51"/>
      <c r="Y51"/>
    </row>
    <row r="52" spans="1:25" ht="15" customHeight="1" x14ac:dyDescent="0.3">
      <c r="A52" s="84" t="s">
        <v>29</v>
      </c>
      <c r="B52" s="88"/>
      <c r="C52" s="89"/>
      <c r="D52" s="88"/>
      <c r="E52" s="89"/>
      <c r="F52" s="88"/>
      <c r="G52" s="89"/>
      <c r="H52" s="88"/>
      <c r="I52" s="89"/>
      <c r="J52" s="88"/>
      <c r="K52" s="89"/>
      <c r="L52" s="88"/>
      <c r="M52" s="89"/>
      <c r="N52"/>
      <c r="O52"/>
      <c r="P52"/>
      <c r="Q52"/>
      <c r="R52"/>
      <c r="S52"/>
      <c r="T52"/>
      <c r="U52"/>
      <c r="V52"/>
      <c r="W52"/>
      <c r="X52"/>
      <c r="Y52"/>
    </row>
    <row r="53" spans="1:25" ht="15" customHeight="1" x14ac:dyDescent="0.3">
      <c r="A53" s="90" t="s">
        <v>9</v>
      </c>
      <c r="B53" s="88">
        <v>57</v>
      </c>
      <c r="C53" s="98">
        <v>0.95</v>
      </c>
      <c r="D53" s="88">
        <v>1</v>
      </c>
      <c r="E53" s="98">
        <v>1.6666666666666666E-2</v>
      </c>
      <c r="F53" s="88">
        <v>1</v>
      </c>
      <c r="G53" s="98">
        <v>1.6666666666666666E-2</v>
      </c>
      <c r="H53" s="88">
        <v>1</v>
      </c>
      <c r="I53" s="98">
        <v>1.6666666666666666E-2</v>
      </c>
      <c r="J53" s="88"/>
      <c r="K53" s="98">
        <v>0</v>
      </c>
      <c r="L53" s="88">
        <v>60</v>
      </c>
      <c r="M53" s="89">
        <v>1</v>
      </c>
      <c r="N53"/>
      <c r="O53"/>
      <c r="P53"/>
      <c r="Q53"/>
      <c r="R53"/>
      <c r="S53"/>
      <c r="T53"/>
      <c r="U53"/>
      <c r="V53"/>
      <c r="W53"/>
      <c r="X53"/>
      <c r="Y53"/>
    </row>
    <row r="54" spans="1:25" ht="15" customHeight="1" x14ac:dyDescent="0.3">
      <c r="A54" s="84" t="s">
        <v>30</v>
      </c>
      <c r="B54" s="88">
        <v>57</v>
      </c>
      <c r="C54" s="98">
        <v>0.95</v>
      </c>
      <c r="D54" s="88">
        <v>1</v>
      </c>
      <c r="E54" s="98">
        <v>1.6666666666666666E-2</v>
      </c>
      <c r="F54" s="88">
        <v>1</v>
      </c>
      <c r="G54" s="98">
        <v>1.6666666666666666E-2</v>
      </c>
      <c r="H54" s="88">
        <v>1</v>
      </c>
      <c r="I54" s="98">
        <v>1.6666666666666666E-2</v>
      </c>
      <c r="J54" s="88"/>
      <c r="K54" s="98">
        <v>0</v>
      </c>
      <c r="L54" s="88">
        <v>60</v>
      </c>
      <c r="M54" s="89">
        <v>1</v>
      </c>
      <c r="N54"/>
      <c r="O54"/>
      <c r="P54"/>
      <c r="Q54"/>
      <c r="R54"/>
      <c r="S54"/>
      <c r="T54"/>
      <c r="U54"/>
      <c r="V54"/>
      <c r="W54"/>
      <c r="X54"/>
      <c r="Y54"/>
    </row>
    <row r="55" spans="1:25" ht="15" customHeight="1" x14ac:dyDescent="0.3">
      <c r="A55" s="84"/>
      <c r="B55" s="88"/>
      <c r="C55" s="89"/>
      <c r="D55" s="88"/>
      <c r="E55" s="89"/>
      <c r="F55" s="88"/>
      <c r="G55" s="89"/>
      <c r="H55" s="88"/>
      <c r="I55" s="89"/>
      <c r="J55" s="88"/>
      <c r="K55" s="89"/>
      <c r="L55" s="88"/>
      <c r="M55" s="89"/>
      <c r="N55"/>
      <c r="O55"/>
      <c r="P55"/>
      <c r="Q55"/>
      <c r="R55"/>
      <c r="S55"/>
      <c r="T55"/>
      <c r="U55"/>
      <c r="V55"/>
      <c r="W55"/>
      <c r="X55"/>
      <c r="Y55"/>
    </row>
    <row r="56" spans="1:25" ht="15" customHeight="1" x14ac:dyDescent="0.3">
      <c r="A56" s="84" t="s">
        <v>31</v>
      </c>
      <c r="B56" s="88"/>
      <c r="C56" s="89"/>
      <c r="D56" s="88"/>
      <c r="E56" s="89"/>
      <c r="F56" s="88"/>
      <c r="G56" s="89"/>
      <c r="H56" s="88"/>
      <c r="I56" s="89"/>
      <c r="J56" s="88"/>
      <c r="K56" s="89"/>
      <c r="L56" s="88"/>
      <c r="M56" s="89"/>
      <c r="N56"/>
      <c r="O56"/>
      <c r="P56"/>
      <c r="Q56"/>
      <c r="R56"/>
      <c r="S56"/>
      <c r="T56"/>
      <c r="U56"/>
      <c r="V56"/>
      <c r="W56"/>
      <c r="X56"/>
      <c r="Y56"/>
    </row>
    <row r="57" spans="1:25" ht="15" customHeight="1" x14ac:dyDescent="0.3">
      <c r="A57" s="90" t="s">
        <v>9</v>
      </c>
      <c r="B57" s="88">
        <v>46</v>
      </c>
      <c r="C57" s="98">
        <v>0.90196078431372551</v>
      </c>
      <c r="D57" s="88">
        <v>1</v>
      </c>
      <c r="E57" s="98">
        <v>1.9607843137254902E-2</v>
      </c>
      <c r="F57" s="88">
        <v>1</v>
      </c>
      <c r="G57" s="98">
        <v>1.9607843137254902E-2</v>
      </c>
      <c r="H57" s="88">
        <v>1</v>
      </c>
      <c r="I57" s="98">
        <v>1.9607843137254902E-2</v>
      </c>
      <c r="J57" s="88">
        <v>2</v>
      </c>
      <c r="K57" s="98">
        <v>3.9215686274509803E-2</v>
      </c>
      <c r="L57" s="88">
        <v>51</v>
      </c>
      <c r="M57" s="89">
        <v>1</v>
      </c>
      <c r="N57"/>
      <c r="O57"/>
      <c r="P57"/>
      <c r="Q57"/>
      <c r="R57"/>
      <c r="S57"/>
      <c r="T57"/>
      <c r="U57"/>
      <c r="V57"/>
      <c r="W57"/>
      <c r="X57"/>
      <c r="Y57"/>
    </row>
    <row r="58" spans="1:25" ht="15" customHeight="1" x14ac:dyDescent="0.3">
      <c r="A58" s="84" t="s">
        <v>32</v>
      </c>
      <c r="B58" s="88">
        <v>46</v>
      </c>
      <c r="C58" s="98">
        <v>0.90196078431372551</v>
      </c>
      <c r="D58" s="88">
        <v>1</v>
      </c>
      <c r="E58" s="98">
        <v>1.9607843137254902E-2</v>
      </c>
      <c r="F58" s="88">
        <v>1</v>
      </c>
      <c r="G58" s="98">
        <v>1.9607843137254902E-2</v>
      </c>
      <c r="H58" s="88">
        <v>1</v>
      </c>
      <c r="I58" s="98">
        <v>1.9607843137254902E-2</v>
      </c>
      <c r="J58" s="88">
        <v>2</v>
      </c>
      <c r="K58" s="98">
        <v>3.9215686274509803E-2</v>
      </c>
      <c r="L58" s="88">
        <v>51</v>
      </c>
      <c r="M58" s="89">
        <v>1</v>
      </c>
      <c r="N58"/>
      <c r="O58"/>
      <c r="P58"/>
      <c r="Q58"/>
      <c r="R58"/>
      <c r="S58"/>
      <c r="T58"/>
      <c r="U58"/>
      <c r="V58"/>
      <c r="W58"/>
      <c r="X58"/>
      <c r="Y58"/>
    </row>
    <row r="59" spans="1:25" ht="15" customHeight="1" x14ac:dyDescent="0.3">
      <c r="A59" s="84"/>
      <c r="B59" s="88"/>
      <c r="C59" s="89"/>
      <c r="D59" s="88"/>
      <c r="E59" s="89"/>
      <c r="F59" s="88"/>
      <c r="G59" s="89"/>
      <c r="H59" s="88"/>
      <c r="I59" s="89"/>
      <c r="J59" s="88"/>
      <c r="K59" s="89"/>
      <c r="L59" s="88"/>
      <c r="M59" s="89"/>
      <c r="N59"/>
      <c r="O59"/>
      <c r="P59"/>
      <c r="Q59"/>
      <c r="R59"/>
      <c r="S59"/>
      <c r="T59"/>
      <c r="U59"/>
      <c r="V59"/>
      <c r="W59"/>
      <c r="X59"/>
      <c r="Y59"/>
    </row>
    <row r="60" spans="1:25" ht="15" customHeight="1" x14ac:dyDescent="0.3">
      <c r="A60" s="84" t="s">
        <v>33</v>
      </c>
      <c r="B60" s="88"/>
      <c r="C60" s="89"/>
      <c r="D60" s="88"/>
      <c r="E60" s="89"/>
      <c r="F60" s="88"/>
      <c r="G60" s="89"/>
      <c r="H60" s="88"/>
      <c r="I60" s="89"/>
      <c r="J60" s="88"/>
      <c r="K60" s="89"/>
      <c r="L60" s="88"/>
      <c r="M60" s="89"/>
      <c r="N60"/>
      <c r="O60"/>
      <c r="P60"/>
      <c r="Q60"/>
      <c r="R60"/>
      <c r="S60"/>
      <c r="T60"/>
      <c r="U60"/>
      <c r="V60"/>
      <c r="W60"/>
      <c r="X60"/>
      <c r="Y60"/>
    </row>
    <row r="61" spans="1:25" ht="15" customHeight="1" x14ac:dyDescent="0.3">
      <c r="A61" s="90" t="s">
        <v>9</v>
      </c>
      <c r="B61" s="88">
        <v>62</v>
      </c>
      <c r="C61" s="98">
        <v>0.88571428571428568</v>
      </c>
      <c r="D61" s="88">
        <v>3</v>
      </c>
      <c r="E61" s="98">
        <v>4.2857142857142858E-2</v>
      </c>
      <c r="F61" s="88">
        <v>1</v>
      </c>
      <c r="G61" s="98">
        <v>1.4285714285714285E-2</v>
      </c>
      <c r="H61" s="88">
        <v>2</v>
      </c>
      <c r="I61" s="98">
        <v>2.8571428571428571E-2</v>
      </c>
      <c r="J61" s="88">
        <v>2</v>
      </c>
      <c r="K61" s="98">
        <v>2.8571428571428571E-2</v>
      </c>
      <c r="L61" s="88">
        <v>70</v>
      </c>
      <c r="M61" s="89">
        <v>1</v>
      </c>
      <c r="N61"/>
      <c r="O61"/>
      <c r="P61"/>
      <c r="Q61"/>
      <c r="R61"/>
      <c r="S61"/>
      <c r="T61"/>
      <c r="U61"/>
      <c r="V61"/>
      <c r="W61"/>
      <c r="X61"/>
      <c r="Y61"/>
    </row>
    <row r="62" spans="1:25" ht="15" customHeight="1" x14ac:dyDescent="0.3">
      <c r="A62" s="84" t="s">
        <v>34</v>
      </c>
      <c r="B62" s="88">
        <v>62</v>
      </c>
      <c r="C62" s="98">
        <v>0.88571428571428568</v>
      </c>
      <c r="D62" s="88">
        <v>3</v>
      </c>
      <c r="E62" s="98">
        <v>4.2857142857142858E-2</v>
      </c>
      <c r="F62" s="88">
        <v>1</v>
      </c>
      <c r="G62" s="98">
        <v>1.4285714285714285E-2</v>
      </c>
      <c r="H62" s="88">
        <v>2</v>
      </c>
      <c r="I62" s="98">
        <v>2.8571428571428571E-2</v>
      </c>
      <c r="J62" s="88">
        <v>2</v>
      </c>
      <c r="K62" s="98">
        <v>2.8571428571428571E-2</v>
      </c>
      <c r="L62" s="88">
        <v>70</v>
      </c>
      <c r="M62" s="89">
        <v>1</v>
      </c>
      <c r="N62"/>
      <c r="O62"/>
      <c r="P62"/>
      <c r="Q62"/>
      <c r="R62"/>
      <c r="S62"/>
      <c r="T62"/>
      <c r="U62"/>
      <c r="V62"/>
      <c r="W62"/>
      <c r="X62"/>
      <c r="Y62"/>
    </row>
    <row r="63" spans="1:25" ht="15" customHeight="1" x14ac:dyDescent="0.3">
      <c r="A63" s="84"/>
      <c r="B63" s="88"/>
      <c r="C63" s="89"/>
      <c r="D63" s="88"/>
      <c r="E63" s="89"/>
      <c r="F63" s="88"/>
      <c r="G63" s="89"/>
      <c r="H63" s="88"/>
      <c r="I63" s="89"/>
      <c r="J63" s="88"/>
      <c r="K63" s="89"/>
      <c r="L63" s="88"/>
      <c r="M63" s="89"/>
      <c r="N63"/>
      <c r="O63"/>
      <c r="P63"/>
      <c r="Q63"/>
      <c r="R63"/>
      <c r="S63"/>
      <c r="T63"/>
      <c r="U63"/>
      <c r="V63"/>
      <c r="W63"/>
      <c r="X63"/>
      <c r="Y63"/>
    </row>
    <row r="64" spans="1:25" ht="15" customHeight="1" x14ac:dyDescent="0.3">
      <c r="A64" s="84" t="s">
        <v>35</v>
      </c>
      <c r="B64" s="88"/>
      <c r="C64" s="89"/>
      <c r="D64" s="88"/>
      <c r="E64" s="89"/>
      <c r="F64" s="88"/>
      <c r="G64" s="89"/>
      <c r="H64" s="88"/>
      <c r="I64" s="89"/>
      <c r="J64" s="88"/>
      <c r="K64" s="89"/>
      <c r="L64" s="88"/>
      <c r="M64" s="89"/>
      <c r="N64"/>
      <c r="O64"/>
      <c r="P64"/>
      <c r="Q64"/>
      <c r="R64"/>
      <c r="S64"/>
      <c r="T64"/>
      <c r="U64"/>
      <c r="V64"/>
      <c r="W64"/>
      <c r="X64"/>
      <c r="Y64"/>
    </row>
    <row r="65" spans="1:25" ht="15" customHeight="1" x14ac:dyDescent="0.3">
      <c r="A65" s="90" t="s">
        <v>9</v>
      </c>
      <c r="B65" s="88">
        <v>49</v>
      </c>
      <c r="C65" s="98">
        <v>0.875</v>
      </c>
      <c r="D65" s="88">
        <v>2</v>
      </c>
      <c r="E65" s="98">
        <v>3.5714285714285712E-2</v>
      </c>
      <c r="F65" s="88">
        <v>1</v>
      </c>
      <c r="G65" s="98">
        <v>1.7857142857142856E-2</v>
      </c>
      <c r="H65" s="88">
        <v>3</v>
      </c>
      <c r="I65" s="98">
        <v>5.3571428571428568E-2</v>
      </c>
      <c r="J65" s="88">
        <v>1</v>
      </c>
      <c r="K65" s="98">
        <v>1.7857142857142856E-2</v>
      </c>
      <c r="L65" s="88">
        <v>56</v>
      </c>
      <c r="M65" s="89">
        <v>1</v>
      </c>
      <c r="N65"/>
      <c r="O65"/>
      <c r="P65"/>
      <c r="Q65"/>
      <c r="R65"/>
      <c r="S65"/>
      <c r="T65"/>
      <c r="U65"/>
      <c r="V65"/>
      <c r="W65"/>
      <c r="X65"/>
      <c r="Y65"/>
    </row>
    <row r="66" spans="1:25" ht="15" customHeight="1" x14ac:dyDescent="0.3">
      <c r="A66" s="90" t="s">
        <v>10</v>
      </c>
      <c r="B66" s="88">
        <v>1</v>
      </c>
      <c r="C66" s="98">
        <v>1</v>
      </c>
      <c r="D66" s="88"/>
      <c r="E66" s="98">
        <v>0</v>
      </c>
      <c r="F66" s="88"/>
      <c r="G66" s="98">
        <v>0</v>
      </c>
      <c r="H66" s="88"/>
      <c r="I66" s="98">
        <v>0</v>
      </c>
      <c r="J66" s="88"/>
      <c r="K66" s="98">
        <v>0</v>
      </c>
      <c r="L66" s="88">
        <v>1</v>
      </c>
      <c r="M66" s="89">
        <v>1</v>
      </c>
      <c r="N66"/>
      <c r="O66"/>
      <c r="P66"/>
      <c r="Q66"/>
      <c r="R66"/>
      <c r="S66"/>
      <c r="T66"/>
      <c r="U66"/>
      <c r="V66"/>
      <c r="W66"/>
      <c r="X66"/>
      <c r="Y66"/>
    </row>
    <row r="67" spans="1:25" ht="15" customHeight="1" x14ac:dyDescent="0.3">
      <c r="A67" s="84" t="s">
        <v>36</v>
      </c>
      <c r="B67" s="88">
        <v>50</v>
      </c>
      <c r="C67" s="98">
        <v>0.8771929824561403</v>
      </c>
      <c r="D67" s="88">
        <v>2</v>
      </c>
      <c r="E67" s="98">
        <v>3.5087719298245612E-2</v>
      </c>
      <c r="F67" s="88">
        <v>1</v>
      </c>
      <c r="G67" s="98">
        <v>1.7543859649122806E-2</v>
      </c>
      <c r="H67" s="88">
        <v>3</v>
      </c>
      <c r="I67" s="98">
        <v>5.2631578947368418E-2</v>
      </c>
      <c r="J67" s="88">
        <v>1</v>
      </c>
      <c r="K67" s="98">
        <v>1.7543859649122806E-2</v>
      </c>
      <c r="L67" s="88">
        <v>57</v>
      </c>
      <c r="M67" s="89">
        <v>1</v>
      </c>
      <c r="N67"/>
      <c r="O67"/>
      <c r="P67"/>
      <c r="Q67"/>
      <c r="R67"/>
      <c r="S67"/>
      <c r="T67"/>
      <c r="U67"/>
      <c r="V67"/>
      <c r="W67"/>
      <c r="X67"/>
      <c r="Y67"/>
    </row>
    <row r="68" spans="1:25" ht="15" customHeight="1" x14ac:dyDescent="0.3">
      <c r="A68" s="84"/>
      <c r="B68" s="88"/>
      <c r="C68" s="89"/>
      <c r="D68" s="88"/>
      <c r="E68" s="89"/>
      <c r="F68" s="88"/>
      <c r="G68" s="89"/>
      <c r="H68" s="88"/>
      <c r="I68" s="89"/>
      <c r="J68" s="88"/>
      <c r="K68" s="89"/>
      <c r="L68" s="88"/>
      <c r="M68" s="89"/>
      <c r="N68"/>
      <c r="O68"/>
      <c r="P68"/>
      <c r="Q68"/>
      <c r="R68"/>
      <c r="S68"/>
      <c r="T68"/>
      <c r="U68"/>
      <c r="V68"/>
      <c r="W68"/>
      <c r="X68"/>
      <c r="Y68"/>
    </row>
    <row r="69" spans="1:25" ht="15" customHeight="1" x14ac:dyDescent="0.3">
      <c r="A69" s="84" t="s">
        <v>37</v>
      </c>
      <c r="B69" s="88"/>
      <c r="C69" s="89"/>
      <c r="D69" s="88"/>
      <c r="E69" s="89"/>
      <c r="F69" s="88"/>
      <c r="G69" s="89"/>
      <c r="H69" s="88"/>
      <c r="I69" s="89"/>
      <c r="J69" s="88"/>
      <c r="K69" s="89"/>
      <c r="L69" s="88"/>
      <c r="M69" s="89"/>
      <c r="N69"/>
      <c r="O69"/>
      <c r="P69"/>
      <c r="Q69"/>
      <c r="R69"/>
      <c r="S69"/>
      <c r="T69"/>
      <c r="U69"/>
      <c r="V69"/>
      <c r="W69"/>
      <c r="X69"/>
      <c r="Y69"/>
    </row>
    <row r="70" spans="1:25" ht="15" customHeight="1" x14ac:dyDescent="0.3">
      <c r="A70" s="90" t="s">
        <v>9</v>
      </c>
      <c r="B70" s="88">
        <v>82</v>
      </c>
      <c r="C70" s="98">
        <v>0.93181818181818177</v>
      </c>
      <c r="D70" s="88">
        <v>3</v>
      </c>
      <c r="E70" s="98">
        <v>3.4090909090909088E-2</v>
      </c>
      <c r="F70" s="88"/>
      <c r="G70" s="98">
        <v>0</v>
      </c>
      <c r="H70" s="88">
        <v>2</v>
      </c>
      <c r="I70" s="98">
        <v>2.2727272727272728E-2</v>
      </c>
      <c r="J70" s="88">
        <v>1</v>
      </c>
      <c r="K70" s="98">
        <v>1.1363636363636364E-2</v>
      </c>
      <c r="L70" s="88">
        <v>88</v>
      </c>
      <c r="M70" s="89">
        <v>1</v>
      </c>
      <c r="N70"/>
      <c r="O70"/>
      <c r="P70"/>
      <c r="Q70"/>
      <c r="R70"/>
      <c r="S70"/>
      <c r="T70"/>
      <c r="U70"/>
      <c r="V70"/>
      <c r="W70"/>
      <c r="X70"/>
      <c r="Y70"/>
    </row>
    <row r="71" spans="1:25" ht="15" customHeight="1" x14ac:dyDescent="0.3">
      <c r="A71" s="84" t="s">
        <v>38</v>
      </c>
      <c r="B71" s="88">
        <v>82</v>
      </c>
      <c r="C71" s="98">
        <v>0.93181818181818177</v>
      </c>
      <c r="D71" s="88">
        <v>3</v>
      </c>
      <c r="E71" s="98">
        <v>3.4090909090909088E-2</v>
      </c>
      <c r="F71" s="88"/>
      <c r="G71" s="98">
        <v>0</v>
      </c>
      <c r="H71" s="88">
        <v>2</v>
      </c>
      <c r="I71" s="98">
        <v>2.2727272727272728E-2</v>
      </c>
      <c r="J71" s="88">
        <v>1</v>
      </c>
      <c r="K71" s="98">
        <v>1.1363636363636364E-2</v>
      </c>
      <c r="L71" s="88">
        <v>88</v>
      </c>
      <c r="M71" s="89">
        <v>1</v>
      </c>
      <c r="N71"/>
      <c r="O71"/>
      <c r="P71"/>
      <c r="Q71"/>
      <c r="R71"/>
      <c r="S71"/>
      <c r="T71"/>
      <c r="U71"/>
      <c r="V71"/>
      <c r="W71"/>
      <c r="X71"/>
      <c r="Y71"/>
    </row>
    <row r="72" spans="1:25" ht="15" customHeight="1" x14ac:dyDescent="0.3">
      <c r="A72" s="84"/>
      <c r="B72" s="88"/>
      <c r="C72" s="89"/>
      <c r="D72" s="88"/>
      <c r="E72" s="89"/>
      <c r="F72" s="88"/>
      <c r="G72" s="89"/>
      <c r="H72" s="88"/>
      <c r="I72" s="89"/>
      <c r="J72" s="88"/>
      <c r="K72" s="89"/>
      <c r="L72" s="88"/>
      <c r="M72" s="89"/>
      <c r="N72"/>
      <c r="O72"/>
      <c r="P72"/>
      <c r="Q72"/>
      <c r="R72"/>
      <c r="S72"/>
      <c r="T72"/>
      <c r="U72"/>
      <c r="V72"/>
      <c r="W72"/>
      <c r="X72"/>
      <c r="Y72"/>
    </row>
    <row r="73" spans="1:25" ht="15" customHeight="1" x14ac:dyDescent="0.3">
      <c r="A73" s="84" t="s">
        <v>14</v>
      </c>
      <c r="B73" s="88"/>
      <c r="C73" s="89"/>
      <c r="D73" s="88"/>
      <c r="E73" s="89"/>
      <c r="F73" s="88"/>
      <c r="G73" s="89"/>
      <c r="H73" s="88"/>
      <c r="I73" s="89"/>
      <c r="J73" s="88"/>
      <c r="K73" s="89"/>
      <c r="L73" s="88"/>
      <c r="M73" s="89"/>
      <c r="N73"/>
      <c r="O73"/>
      <c r="P73"/>
      <c r="Q73"/>
      <c r="R73"/>
      <c r="S73"/>
      <c r="T73"/>
      <c r="U73"/>
      <c r="V73"/>
      <c r="W73"/>
      <c r="X73"/>
      <c r="Y73"/>
    </row>
    <row r="74" spans="1:25" ht="15" customHeight="1" x14ac:dyDescent="0.3">
      <c r="A74" s="90" t="s">
        <v>9</v>
      </c>
      <c r="B74" s="88">
        <v>55</v>
      </c>
      <c r="C74" s="98">
        <v>0.859375</v>
      </c>
      <c r="D74" s="88">
        <v>2</v>
      </c>
      <c r="E74" s="98">
        <v>3.125E-2</v>
      </c>
      <c r="F74" s="88">
        <v>2</v>
      </c>
      <c r="G74" s="98">
        <v>3.125E-2</v>
      </c>
      <c r="H74" s="88">
        <v>3</v>
      </c>
      <c r="I74" s="98">
        <v>4.6875E-2</v>
      </c>
      <c r="J74" s="88">
        <v>2</v>
      </c>
      <c r="K74" s="98">
        <v>3.125E-2</v>
      </c>
      <c r="L74" s="88">
        <v>64</v>
      </c>
      <c r="M74" s="89">
        <v>1</v>
      </c>
      <c r="N74"/>
      <c r="O74"/>
      <c r="P74"/>
      <c r="Q74"/>
      <c r="R74"/>
      <c r="S74"/>
      <c r="T74"/>
      <c r="U74"/>
      <c r="V74"/>
      <c r="W74"/>
      <c r="X74"/>
      <c r="Y74"/>
    </row>
    <row r="75" spans="1:25" ht="15" customHeight="1" x14ac:dyDescent="0.3">
      <c r="A75" s="90" t="s">
        <v>10</v>
      </c>
      <c r="B75" s="88">
        <v>0</v>
      </c>
      <c r="C75" s="98"/>
      <c r="D75" s="88"/>
      <c r="E75" s="98"/>
      <c r="F75" s="88">
        <v>0</v>
      </c>
      <c r="G75" s="98"/>
      <c r="H75" s="88"/>
      <c r="I75" s="98"/>
      <c r="J75" s="88"/>
      <c r="K75" s="98"/>
      <c r="L75" s="88">
        <v>0</v>
      </c>
      <c r="M75" s="89"/>
      <c r="N75"/>
      <c r="O75"/>
      <c r="P75"/>
      <c r="Q75"/>
      <c r="R75"/>
      <c r="S75"/>
      <c r="T75"/>
      <c r="U75"/>
      <c r="V75"/>
      <c r="W75"/>
      <c r="X75"/>
      <c r="Y75"/>
    </row>
    <row r="76" spans="1:25" ht="15" customHeight="1" x14ac:dyDescent="0.3">
      <c r="A76" s="84" t="s">
        <v>15</v>
      </c>
      <c r="B76" s="88">
        <v>55</v>
      </c>
      <c r="C76" s="98">
        <v>0.859375</v>
      </c>
      <c r="D76" s="88">
        <v>2</v>
      </c>
      <c r="E76" s="98">
        <v>3.125E-2</v>
      </c>
      <c r="F76" s="88">
        <v>2</v>
      </c>
      <c r="G76" s="98">
        <v>3.125E-2</v>
      </c>
      <c r="H76" s="88">
        <v>3</v>
      </c>
      <c r="I76" s="98">
        <v>4.6875E-2</v>
      </c>
      <c r="J76" s="88">
        <v>2</v>
      </c>
      <c r="K76" s="98">
        <v>3.125E-2</v>
      </c>
      <c r="L76" s="88">
        <v>64</v>
      </c>
      <c r="M76" s="89">
        <v>1</v>
      </c>
      <c r="N76"/>
      <c r="O76"/>
      <c r="P76"/>
      <c r="Q76"/>
      <c r="R76"/>
      <c r="S76"/>
      <c r="T76"/>
      <c r="U76"/>
      <c r="V76"/>
      <c r="W76"/>
      <c r="X76"/>
      <c r="Y76"/>
    </row>
    <row r="77" spans="1:25" ht="15" customHeight="1" x14ac:dyDescent="0.3">
      <c r="A77" s="84"/>
      <c r="B77" s="88"/>
      <c r="C77" s="89"/>
      <c r="D77" s="88"/>
      <c r="E77" s="89"/>
      <c r="F77" s="88"/>
      <c r="G77" s="89"/>
      <c r="H77" s="88"/>
      <c r="I77" s="89"/>
      <c r="J77" s="88"/>
      <c r="K77" s="89"/>
      <c r="L77" s="88"/>
      <c r="M77" s="89"/>
      <c r="N77"/>
      <c r="O77"/>
      <c r="P77"/>
      <c r="Q77"/>
      <c r="R77"/>
      <c r="S77"/>
      <c r="T77"/>
      <c r="U77"/>
      <c r="V77"/>
      <c r="W77"/>
      <c r="X77"/>
      <c r="Y77"/>
    </row>
    <row r="78" spans="1:25" ht="15" customHeight="1" x14ac:dyDescent="0.3">
      <c r="A78" s="84" t="s">
        <v>16</v>
      </c>
      <c r="B78" s="88"/>
      <c r="C78" s="89"/>
      <c r="D78" s="88"/>
      <c r="E78" s="89"/>
      <c r="F78" s="88"/>
      <c r="G78" s="89"/>
      <c r="H78" s="88"/>
      <c r="I78" s="89"/>
      <c r="J78" s="88"/>
      <c r="K78" s="89"/>
      <c r="L78" s="88"/>
      <c r="M78" s="89"/>
      <c r="N78"/>
      <c r="O78"/>
      <c r="P78"/>
      <c r="Q78"/>
      <c r="R78"/>
      <c r="S78"/>
      <c r="T78"/>
      <c r="U78"/>
      <c r="V78"/>
      <c r="W78"/>
      <c r="X78"/>
      <c r="Y78"/>
    </row>
    <row r="79" spans="1:25" ht="15" customHeight="1" x14ac:dyDescent="0.3">
      <c r="A79" s="90" t="s">
        <v>9</v>
      </c>
      <c r="B79" s="88">
        <v>61</v>
      </c>
      <c r="C79" s="98">
        <v>0.91044776119402981</v>
      </c>
      <c r="D79" s="88">
        <v>2</v>
      </c>
      <c r="E79" s="98">
        <v>2.9850746268656716E-2</v>
      </c>
      <c r="F79" s="88">
        <v>1</v>
      </c>
      <c r="G79" s="98">
        <v>1.4925373134328358E-2</v>
      </c>
      <c r="H79" s="88">
        <v>1</v>
      </c>
      <c r="I79" s="98">
        <v>1.4925373134328358E-2</v>
      </c>
      <c r="J79" s="88">
        <v>2</v>
      </c>
      <c r="K79" s="98">
        <v>2.9850746268656716E-2</v>
      </c>
      <c r="L79" s="88">
        <v>67</v>
      </c>
      <c r="M79" s="89">
        <v>1</v>
      </c>
      <c r="N79"/>
      <c r="O79"/>
      <c r="P79"/>
      <c r="Q79"/>
      <c r="R79"/>
      <c r="S79"/>
      <c r="T79"/>
      <c r="U79"/>
      <c r="V79"/>
      <c r="W79"/>
      <c r="X79"/>
      <c r="Y79"/>
    </row>
    <row r="80" spans="1:25" ht="15" customHeight="1" x14ac:dyDescent="0.3">
      <c r="A80" s="90" t="s">
        <v>10</v>
      </c>
      <c r="B80" s="88">
        <v>1</v>
      </c>
      <c r="C80" s="98">
        <v>1</v>
      </c>
      <c r="D80" s="88"/>
      <c r="E80" s="98">
        <v>0</v>
      </c>
      <c r="F80" s="88"/>
      <c r="G80" s="98">
        <v>0</v>
      </c>
      <c r="H80" s="88"/>
      <c r="I80" s="98">
        <v>0</v>
      </c>
      <c r="J80" s="88"/>
      <c r="K80" s="98">
        <v>0</v>
      </c>
      <c r="L80" s="88">
        <v>1</v>
      </c>
      <c r="M80" s="89">
        <v>1</v>
      </c>
      <c r="N80"/>
      <c r="O80"/>
      <c r="P80"/>
      <c r="Q80"/>
      <c r="R80"/>
      <c r="S80"/>
      <c r="T80"/>
      <c r="U80"/>
      <c r="V80"/>
      <c r="W80"/>
      <c r="X80"/>
      <c r="Y80"/>
    </row>
    <row r="81" spans="1:25" ht="15" customHeight="1" x14ac:dyDescent="0.3">
      <c r="A81" s="84" t="s">
        <v>17</v>
      </c>
      <c r="B81" s="88">
        <v>62</v>
      </c>
      <c r="C81" s="98">
        <v>0.91176470588235292</v>
      </c>
      <c r="D81" s="88">
        <v>2</v>
      </c>
      <c r="E81" s="98">
        <v>2.9411764705882353E-2</v>
      </c>
      <c r="F81" s="88">
        <v>1</v>
      </c>
      <c r="G81" s="98">
        <v>1.4705882352941176E-2</v>
      </c>
      <c r="H81" s="88">
        <v>1</v>
      </c>
      <c r="I81" s="98">
        <v>1.4705882352941176E-2</v>
      </c>
      <c r="J81" s="88">
        <v>2</v>
      </c>
      <c r="K81" s="98">
        <v>2.9411764705882353E-2</v>
      </c>
      <c r="L81" s="88">
        <v>68</v>
      </c>
      <c r="M81" s="89">
        <v>1</v>
      </c>
      <c r="N81"/>
      <c r="O81"/>
      <c r="P81"/>
      <c r="Q81"/>
      <c r="R81"/>
      <c r="S81"/>
      <c r="T81"/>
      <c r="U81"/>
      <c r="V81"/>
      <c r="W81"/>
      <c r="X81"/>
      <c r="Y81"/>
    </row>
    <row r="82" spans="1:25" ht="15" customHeight="1" x14ac:dyDescent="0.3">
      <c r="A82" s="84"/>
      <c r="B82" s="88"/>
      <c r="C82" s="89"/>
      <c r="D82" s="88"/>
      <c r="E82" s="89"/>
      <c r="F82" s="88"/>
      <c r="G82" s="89"/>
      <c r="H82" s="88"/>
      <c r="I82" s="89"/>
      <c r="J82" s="88"/>
      <c r="K82" s="89"/>
      <c r="L82" s="88"/>
      <c r="M82" s="89"/>
      <c r="N82"/>
      <c r="O82"/>
      <c r="P82"/>
      <c r="Q82"/>
      <c r="R82"/>
      <c r="S82"/>
      <c r="T82"/>
      <c r="U82"/>
      <c r="V82"/>
      <c r="W82"/>
      <c r="X82"/>
      <c r="Y82"/>
    </row>
    <row r="83" spans="1:25" ht="15" customHeight="1" x14ac:dyDescent="0.3">
      <c r="A83" s="84" t="s">
        <v>18</v>
      </c>
      <c r="B83" s="88"/>
      <c r="C83" s="89"/>
      <c r="D83" s="88"/>
      <c r="E83" s="89"/>
      <c r="F83" s="88"/>
      <c r="G83" s="89"/>
      <c r="H83" s="88"/>
      <c r="I83" s="89"/>
      <c r="J83" s="88"/>
      <c r="K83" s="89"/>
      <c r="L83" s="88"/>
      <c r="M83" s="89"/>
      <c r="N83"/>
      <c r="O83"/>
      <c r="P83"/>
      <c r="Q83"/>
      <c r="R83"/>
      <c r="S83"/>
      <c r="T83"/>
      <c r="U83"/>
      <c r="V83"/>
      <c r="W83"/>
      <c r="X83"/>
      <c r="Y83"/>
    </row>
    <row r="84" spans="1:25" ht="15" customHeight="1" x14ac:dyDescent="0.3">
      <c r="A84" s="90" t="s">
        <v>9</v>
      </c>
      <c r="B84" s="88">
        <v>67</v>
      </c>
      <c r="C84" s="98">
        <v>0.94366197183098588</v>
      </c>
      <c r="D84" s="88">
        <v>1</v>
      </c>
      <c r="E84" s="98">
        <v>1.4084507042253521E-2</v>
      </c>
      <c r="F84" s="88"/>
      <c r="G84" s="98">
        <v>0</v>
      </c>
      <c r="H84" s="88">
        <v>1</v>
      </c>
      <c r="I84" s="98">
        <v>1.4084507042253521E-2</v>
      </c>
      <c r="J84" s="88">
        <v>2</v>
      </c>
      <c r="K84" s="98">
        <v>2.8169014084507043E-2</v>
      </c>
      <c r="L84" s="88">
        <v>71</v>
      </c>
      <c r="M84" s="89">
        <v>1</v>
      </c>
      <c r="N84"/>
      <c r="O84"/>
      <c r="P84"/>
      <c r="Q84"/>
      <c r="R84"/>
      <c r="S84"/>
      <c r="T84"/>
      <c r="U84"/>
      <c r="V84"/>
      <c r="W84"/>
      <c r="X84"/>
      <c r="Y84"/>
    </row>
    <row r="85" spans="1:25" ht="15" customHeight="1" x14ac:dyDescent="0.3">
      <c r="A85" s="90" t="s">
        <v>10</v>
      </c>
      <c r="B85" s="88">
        <v>1</v>
      </c>
      <c r="C85" s="98">
        <v>1</v>
      </c>
      <c r="D85" s="88"/>
      <c r="E85" s="98">
        <v>0</v>
      </c>
      <c r="F85" s="88"/>
      <c r="G85" s="98">
        <v>0</v>
      </c>
      <c r="H85" s="88"/>
      <c r="I85" s="98">
        <v>0</v>
      </c>
      <c r="J85" s="88"/>
      <c r="K85" s="98">
        <v>0</v>
      </c>
      <c r="L85" s="88">
        <v>1</v>
      </c>
      <c r="M85" s="89">
        <v>1</v>
      </c>
      <c r="N85"/>
      <c r="O85"/>
      <c r="P85"/>
      <c r="Q85"/>
      <c r="R85"/>
      <c r="S85"/>
      <c r="T85"/>
      <c r="U85"/>
      <c r="V85"/>
      <c r="W85"/>
      <c r="X85"/>
      <c r="Y85"/>
    </row>
    <row r="86" spans="1:25" ht="15" customHeight="1" x14ac:dyDescent="0.3">
      <c r="A86" s="84" t="s">
        <v>19</v>
      </c>
      <c r="B86" s="88">
        <v>68</v>
      </c>
      <c r="C86" s="98">
        <v>0.94444444444444442</v>
      </c>
      <c r="D86" s="88">
        <v>1</v>
      </c>
      <c r="E86" s="98">
        <v>1.3888888888888888E-2</v>
      </c>
      <c r="F86" s="88"/>
      <c r="G86" s="98">
        <v>0</v>
      </c>
      <c r="H86" s="88">
        <v>1</v>
      </c>
      <c r="I86" s="98">
        <v>1.3888888888888888E-2</v>
      </c>
      <c r="J86" s="88">
        <v>2</v>
      </c>
      <c r="K86" s="98">
        <v>2.7777777777777776E-2</v>
      </c>
      <c r="L86" s="88">
        <v>72</v>
      </c>
      <c r="M86" s="89">
        <v>1</v>
      </c>
      <c r="N86"/>
      <c r="O86"/>
      <c r="P86"/>
      <c r="Q86"/>
      <c r="R86"/>
      <c r="S86"/>
      <c r="T86"/>
      <c r="U86"/>
      <c r="V86"/>
      <c r="W86"/>
      <c r="X86"/>
      <c r="Y86"/>
    </row>
    <row r="87" spans="1:25" ht="15" customHeight="1" x14ac:dyDescent="0.3">
      <c r="A87" s="84"/>
      <c r="B87" s="88"/>
      <c r="C87" s="89"/>
      <c r="D87" s="88"/>
      <c r="E87" s="89"/>
      <c r="F87" s="88"/>
      <c r="G87" s="89"/>
      <c r="H87" s="88"/>
      <c r="I87" s="89"/>
      <c r="J87" s="88"/>
      <c r="K87" s="89"/>
      <c r="L87" s="88"/>
      <c r="M87" s="89"/>
      <c r="N87"/>
      <c r="O87"/>
      <c r="P87"/>
      <c r="Q87"/>
      <c r="R87"/>
      <c r="S87"/>
      <c r="T87"/>
      <c r="U87"/>
      <c r="V87"/>
      <c r="W87"/>
      <c r="X87"/>
      <c r="Y87"/>
    </row>
    <row r="88" spans="1:25" ht="15" customHeight="1" x14ac:dyDescent="0.3">
      <c r="A88" s="84" t="s">
        <v>20</v>
      </c>
      <c r="B88" s="88"/>
      <c r="C88" s="89"/>
      <c r="D88" s="88"/>
      <c r="E88" s="89"/>
      <c r="F88" s="88"/>
      <c r="G88" s="89"/>
      <c r="H88" s="88"/>
      <c r="I88" s="89"/>
      <c r="J88" s="88"/>
      <c r="K88" s="89"/>
      <c r="L88" s="88"/>
      <c r="M88" s="89"/>
      <c r="N88"/>
      <c r="O88"/>
      <c r="P88"/>
      <c r="Q88"/>
      <c r="R88"/>
      <c r="S88"/>
      <c r="T88"/>
      <c r="U88"/>
      <c r="V88"/>
      <c r="W88"/>
      <c r="X88"/>
      <c r="Y88"/>
    </row>
    <row r="89" spans="1:25" ht="15" customHeight="1" x14ac:dyDescent="0.3">
      <c r="A89" s="90" t="s">
        <v>9</v>
      </c>
      <c r="B89" s="88">
        <v>67</v>
      </c>
      <c r="C89" s="98">
        <v>0.88157894736842102</v>
      </c>
      <c r="D89" s="88">
        <v>2</v>
      </c>
      <c r="E89" s="98">
        <v>2.6315789473684209E-2</v>
      </c>
      <c r="F89" s="88">
        <v>4</v>
      </c>
      <c r="G89" s="98">
        <v>5.2631578947368418E-2</v>
      </c>
      <c r="H89" s="88">
        <v>1</v>
      </c>
      <c r="I89" s="98">
        <v>1.3157894736842105E-2</v>
      </c>
      <c r="J89" s="88">
        <v>2</v>
      </c>
      <c r="K89" s="98">
        <v>2.6315789473684209E-2</v>
      </c>
      <c r="L89" s="88">
        <v>76</v>
      </c>
      <c r="M89" s="89">
        <v>1</v>
      </c>
      <c r="N89"/>
      <c r="O89"/>
      <c r="P89"/>
      <c r="Q89"/>
      <c r="R89"/>
      <c r="S89"/>
      <c r="T89"/>
      <c r="U89"/>
      <c r="V89"/>
      <c r="W89"/>
      <c r="X89"/>
      <c r="Y89"/>
    </row>
    <row r="90" spans="1:25" ht="15" customHeight="1" x14ac:dyDescent="0.3">
      <c r="A90" s="90" t="s">
        <v>10</v>
      </c>
      <c r="B90" s="88">
        <v>0</v>
      </c>
      <c r="C90" s="98"/>
      <c r="D90" s="88"/>
      <c r="E90" s="98"/>
      <c r="F90" s="88"/>
      <c r="G90" s="98"/>
      <c r="H90" s="88"/>
      <c r="I90" s="98"/>
      <c r="J90" s="88"/>
      <c r="K90" s="98"/>
      <c r="L90" s="88">
        <v>0</v>
      </c>
      <c r="M90" s="89"/>
      <c r="N90"/>
      <c r="O90"/>
      <c r="P90"/>
      <c r="Q90"/>
      <c r="R90"/>
      <c r="S90"/>
      <c r="T90"/>
      <c r="U90"/>
      <c r="V90"/>
      <c r="W90"/>
      <c r="X90"/>
      <c r="Y90"/>
    </row>
    <row r="91" spans="1:25" ht="15" customHeight="1" x14ac:dyDescent="0.3">
      <c r="A91" s="84" t="s">
        <v>21</v>
      </c>
      <c r="B91" s="88">
        <v>67</v>
      </c>
      <c r="C91" s="98">
        <v>0.88157894736842102</v>
      </c>
      <c r="D91" s="88">
        <v>2</v>
      </c>
      <c r="E91" s="98">
        <v>2.6315789473684209E-2</v>
      </c>
      <c r="F91" s="88">
        <v>4</v>
      </c>
      <c r="G91" s="98">
        <v>5.2631578947368418E-2</v>
      </c>
      <c r="H91" s="88">
        <v>1</v>
      </c>
      <c r="I91" s="98">
        <v>1.3157894736842105E-2</v>
      </c>
      <c r="J91" s="88">
        <v>2</v>
      </c>
      <c r="K91" s="98">
        <v>2.6315789473684209E-2</v>
      </c>
      <c r="L91" s="88">
        <v>76</v>
      </c>
      <c r="M91" s="89">
        <v>1</v>
      </c>
      <c r="N91"/>
      <c r="O91"/>
      <c r="P91"/>
      <c r="Q91"/>
      <c r="R91"/>
      <c r="S91"/>
      <c r="T91"/>
      <c r="U91"/>
      <c r="V91"/>
      <c r="W91"/>
      <c r="X91"/>
      <c r="Y91"/>
    </row>
    <row r="92" spans="1:25" ht="15" customHeight="1" x14ac:dyDescent="0.3">
      <c r="A92" s="84"/>
      <c r="B92" s="88"/>
      <c r="C92" s="89"/>
      <c r="D92" s="88"/>
      <c r="E92" s="89"/>
      <c r="F92" s="88"/>
      <c r="G92" s="89"/>
      <c r="H92" s="88"/>
      <c r="I92" s="89"/>
      <c r="J92" s="88"/>
      <c r="K92" s="89"/>
      <c r="L92" s="88"/>
      <c r="M92" s="89"/>
      <c r="N92"/>
      <c r="O92"/>
      <c r="P92"/>
      <c r="Q92"/>
      <c r="R92"/>
      <c r="S92"/>
      <c r="T92"/>
      <c r="U92"/>
      <c r="V92"/>
      <c r="W92"/>
      <c r="X92"/>
      <c r="Y92"/>
    </row>
    <row r="93" spans="1:25" ht="15" customHeight="1" x14ac:dyDescent="0.3">
      <c r="A93" s="84" t="s">
        <v>22</v>
      </c>
      <c r="B93" s="88"/>
      <c r="C93" s="89"/>
      <c r="D93" s="88"/>
      <c r="E93" s="89"/>
      <c r="F93" s="88"/>
      <c r="G93" s="89"/>
      <c r="H93" s="88"/>
      <c r="I93" s="89"/>
      <c r="J93" s="88"/>
      <c r="K93" s="89"/>
      <c r="L93" s="88"/>
      <c r="M93" s="89"/>
      <c r="N93"/>
      <c r="O93"/>
      <c r="P93"/>
      <c r="Q93"/>
      <c r="R93"/>
      <c r="S93"/>
      <c r="T93"/>
      <c r="U93"/>
      <c r="V93"/>
      <c r="W93"/>
      <c r="X93"/>
      <c r="Y93"/>
    </row>
    <row r="94" spans="1:25" ht="15" customHeight="1" x14ac:dyDescent="0.3">
      <c r="A94" s="90" t="s">
        <v>9</v>
      </c>
      <c r="B94" s="88">
        <v>111</v>
      </c>
      <c r="C94" s="98">
        <v>0.92500000000000004</v>
      </c>
      <c r="D94" s="88">
        <v>3</v>
      </c>
      <c r="E94" s="98">
        <v>2.5000000000000001E-2</v>
      </c>
      <c r="F94" s="88">
        <v>3</v>
      </c>
      <c r="G94" s="98">
        <v>2.5000000000000001E-2</v>
      </c>
      <c r="H94" s="88">
        <v>2</v>
      </c>
      <c r="I94" s="98">
        <v>1.6666666666666666E-2</v>
      </c>
      <c r="J94" s="88">
        <v>1</v>
      </c>
      <c r="K94" s="98">
        <v>8.3333333333333332E-3</v>
      </c>
      <c r="L94" s="88">
        <v>120</v>
      </c>
      <c r="M94" s="89">
        <v>1</v>
      </c>
      <c r="N94"/>
      <c r="O94"/>
      <c r="P94"/>
      <c r="Q94"/>
      <c r="R94"/>
      <c r="S94"/>
      <c r="T94"/>
      <c r="U94"/>
      <c r="V94"/>
      <c r="W94"/>
      <c r="X94"/>
      <c r="Y94"/>
    </row>
    <row r="95" spans="1:25" ht="15" customHeight="1" x14ac:dyDescent="0.3">
      <c r="A95" s="90" t="s">
        <v>10</v>
      </c>
      <c r="B95" s="88">
        <v>1</v>
      </c>
      <c r="C95" s="98">
        <v>1</v>
      </c>
      <c r="D95" s="88">
        <v>0</v>
      </c>
      <c r="E95" s="98">
        <v>0</v>
      </c>
      <c r="F95" s="88"/>
      <c r="G95" s="98">
        <v>0</v>
      </c>
      <c r="H95" s="88"/>
      <c r="I95" s="98">
        <v>0</v>
      </c>
      <c r="J95" s="88"/>
      <c r="K95" s="98">
        <v>0</v>
      </c>
      <c r="L95" s="88">
        <v>1</v>
      </c>
      <c r="M95" s="89">
        <v>1</v>
      </c>
      <c r="N95"/>
      <c r="O95"/>
      <c r="P95"/>
      <c r="Q95"/>
      <c r="R95"/>
      <c r="S95"/>
      <c r="T95"/>
      <c r="U95"/>
      <c r="V95"/>
      <c r="W95"/>
      <c r="X95"/>
      <c r="Y95"/>
    </row>
    <row r="96" spans="1:25" ht="15" customHeight="1" x14ac:dyDescent="0.3">
      <c r="A96" s="84" t="s">
        <v>23</v>
      </c>
      <c r="B96" s="88">
        <v>112</v>
      </c>
      <c r="C96" s="98">
        <v>0.92561983471074383</v>
      </c>
      <c r="D96" s="88">
        <v>3</v>
      </c>
      <c r="E96" s="98">
        <v>2.4793388429752067E-2</v>
      </c>
      <c r="F96" s="88">
        <v>3</v>
      </c>
      <c r="G96" s="98">
        <v>2.4793388429752067E-2</v>
      </c>
      <c r="H96" s="88">
        <v>2</v>
      </c>
      <c r="I96" s="98">
        <v>1.6528925619834711E-2</v>
      </c>
      <c r="J96" s="88">
        <v>1</v>
      </c>
      <c r="K96" s="98">
        <v>8.2644628099173556E-3</v>
      </c>
      <c r="L96" s="88">
        <v>121</v>
      </c>
      <c r="M96" s="89">
        <v>1</v>
      </c>
      <c r="N96"/>
      <c r="O96"/>
      <c r="P96"/>
      <c r="Q96"/>
      <c r="R96"/>
      <c r="S96"/>
      <c r="T96"/>
      <c r="U96"/>
      <c r="V96"/>
      <c r="W96"/>
      <c r="X96"/>
      <c r="Y96"/>
    </row>
    <row r="97" spans="1:25" ht="15" customHeight="1" x14ac:dyDescent="0.3">
      <c r="A97" s="84"/>
      <c r="B97" s="88"/>
      <c r="C97" s="89"/>
      <c r="D97" s="88"/>
      <c r="E97" s="89"/>
      <c r="F97" s="88"/>
      <c r="G97" s="89"/>
      <c r="H97" s="88"/>
      <c r="I97" s="89"/>
      <c r="J97" s="88"/>
      <c r="K97" s="89"/>
      <c r="L97" s="88"/>
      <c r="M97" s="89"/>
      <c r="N97"/>
      <c r="O97"/>
      <c r="P97"/>
      <c r="Q97"/>
      <c r="R97"/>
      <c r="S97"/>
      <c r="T97"/>
      <c r="U97"/>
      <c r="V97"/>
      <c r="W97"/>
      <c r="X97"/>
      <c r="Y97"/>
    </row>
    <row r="98" spans="1:25" ht="15" customHeight="1" x14ac:dyDescent="0.3">
      <c r="A98" s="84" t="s">
        <v>24</v>
      </c>
      <c r="B98" s="88"/>
      <c r="C98" s="89"/>
      <c r="D98" s="88"/>
      <c r="E98" s="89"/>
      <c r="F98" s="88"/>
      <c r="G98" s="89"/>
      <c r="H98" s="88"/>
      <c r="I98" s="89"/>
      <c r="J98" s="88"/>
      <c r="K98" s="89"/>
      <c r="L98" s="88"/>
      <c r="M98" s="89"/>
      <c r="N98"/>
      <c r="O98"/>
      <c r="P98"/>
      <c r="Q98"/>
      <c r="R98"/>
      <c r="S98"/>
      <c r="T98"/>
      <c r="U98"/>
      <c r="V98"/>
      <c r="W98"/>
      <c r="X98"/>
      <c r="Y98"/>
    </row>
    <row r="99" spans="1:25" ht="15" customHeight="1" x14ac:dyDescent="0.3">
      <c r="A99" s="90" t="s">
        <v>9</v>
      </c>
      <c r="B99" s="88">
        <v>101</v>
      </c>
      <c r="C99" s="98">
        <v>0.91818181818181821</v>
      </c>
      <c r="D99" s="88">
        <v>2</v>
      </c>
      <c r="E99" s="98">
        <v>1.8181818181818181E-2</v>
      </c>
      <c r="F99" s="88">
        <v>4</v>
      </c>
      <c r="G99" s="98">
        <v>3.6363636363636362E-2</v>
      </c>
      <c r="H99" s="88">
        <v>1</v>
      </c>
      <c r="I99" s="98">
        <v>9.0909090909090905E-3</v>
      </c>
      <c r="J99" s="88">
        <v>2</v>
      </c>
      <c r="K99" s="98">
        <v>1.8181818181818181E-2</v>
      </c>
      <c r="L99" s="88">
        <v>110</v>
      </c>
      <c r="M99" s="89">
        <v>1</v>
      </c>
      <c r="N99"/>
      <c r="O99"/>
      <c r="P99"/>
      <c r="Q99"/>
      <c r="R99"/>
      <c r="S99"/>
      <c r="T99"/>
      <c r="U99"/>
      <c r="V99"/>
      <c r="W99"/>
      <c r="X99"/>
      <c r="Y99"/>
    </row>
    <row r="100" spans="1:25" ht="15" customHeight="1" x14ac:dyDescent="0.3">
      <c r="A100" s="90" t="s">
        <v>10</v>
      </c>
      <c r="B100" s="88">
        <v>1</v>
      </c>
      <c r="C100" s="98">
        <v>0.5</v>
      </c>
      <c r="D100" s="88">
        <v>0</v>
      </c>
      <c r="E100" s="98">
        <v>0</v>
      </c>
      <c r="F100" s="88">
        <v>1</v>
      </c>
      <c r="G100" s="98">
        <v>0.5</v>
      </c>
      <c r="H100" s="88"/>
      <c r="I100" s="98">
        <v>0</v>
      </c>
      <c r="J100" s="88"/>
      <c r="K100" s="98">
        <v>0</v>
      </c>
      <c r="L100" s="88">
        <v>2</v>
      </c>
      <c r="M100" s="89">
        <v>1</v>
      </c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5" customHeight="1" x14ac:dyDescent="0.3">
      <c r="A101" s="84" t="s">
        <v>25</v>
      </c>
      <c r="B101" s="88">
        <v>102</v>
      </c>
      <c r="C101" s="98">
        <v>0.9107142857142857</v>
      </c>
      <c r="D101" s="88">
        <v>2</v>
      </c>
      <c r="E101" s="98">
        <v>1.7857142857142856E-2</v>
      </c>
      <c r="F101" s="88">
        <v>5</v>
      </c>
      <c r="G101" s="98">
        <v>4.4642857142857144E-2</v>
      </c>
      <c r="H101" s="88">
        <v>1</v>
      </c>
      <c r="I101" s="98">
        <v>8.9285714285714281E-3</v>
      </c>
      <c r="J101" s="88">
        <v>2</v>
      </c>
      <c r="K101" s="98">
        <v>1.7857142857142856E-2</v>
      </c>
      <c r="L101" s="88">
        <v>112</v>
      </c>
      <c r="M101" s="89">
        <v>1</v>
      </c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5" customHeight="1" x14ac:dyDescent="0.3">
      <c r="A102" s="84"/>
      <c r="B102" s="88"/>
      <c r="C102" s="89"/>
      <c r="D102" s="88"/>
      <c r="E102" s="89"/>
      <c r="F102" s="88"/>
      <c r="G102" s="89"/>
      <c r="H102" s="88"/>
      <c r="I102" s="89"/>
      <c r="J102" s="88"/>
      <c r="K102" s="89"/>
      <c r="L102" s="88"/>
      <c r="M102" s="89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5" customHeight="1" x14ac:dyDescent="0.3">
      <c r="A103" s="87" t="s">
        <v>114</v>
      </c>
      <c r="B103" s="88"/>
      <c r="C103" s="89"/>
      <c r="D103" s="88"/>
      <c r="E103" s="89"/>
      <c r="F103" s="88"/>
      <c r="G103" s="89"/>
      <c r="H103" s="88"/>
      <c r="I103" s="89"/>
      <c r="J103" s="88"/>
      <c r="K103" s="89"/>
      <c r="L103" s="88"/>
      <c r="M103" s="89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5" customHeight="1" x14ac:dyDescent="0.3">
      <c r="A104" s="84" t="s">
        <v>27</v>
      </c>
      <c r="B104" s="88"/>
      <c r="C104" s="89"/>
      <c r="D104" s="88"/>
      <c r="E104" s="89"/>
      <c r="F104" s="88"/>
      <c r="G104" s="89"/>
      <c r="H104" s="88"/>
      <c r="I104" s="89"/>
      <c r="J104" s="88"/>
      <c r="K104" s="89"/>
      <c r="L104" s="88"/>
      <c r="M104" s="89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5" customHeight="1" x14ac:dyDescent="0.3">
      <c r="A105" s="90" t="s">
        <v>9</v>
      </c>
      <c r="B105" s="88">
        <v>97</v>
      </c>
      <c r="C105" s="98">
        <v>0.91509433962264153</v>
      </c>
      <c r="D105" s="88">
        <v>1</v>
      </c>
      <c r="E105" s="98">
        <v>9.433962264150943E-3</v>
      </c>
      <c r="F105" s="88">
        <v>3</v>
      </c>
      <c r="G105" s="98">
        <v>2.8301886792452831E-2</v>
      </c>
      <c r="H105" s="88">
        <v>2</v>
      </c>
      <c r="I105" s="98">
        <v>1.8867924528301886E-2</v>
      </c>
      <c r="J105" s="88">
        <v>3</v>
      </c>
      <c r="K105" s="98">
        <v>2.8301886792452831E-2</v>
      </c>
      <c r="L105" s="88">
        <v>106</v>
      </c>
      <c r="M105" s="89">
        <v>1</v>
      </c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5" customHeight="1" x14ac:dyDescent="0.3">
      <c r="A106" s="90" t="s">
        <v>10</v>
      </c>
      <c r="B106" s="88">
        <v>1</v>
      </c>
      <c r="C106" s="98">
        <v>0.5</v>
      </c>
      <c r="D106" s="88"/>
      <c r="E106" s="98">
        <v>0</v>
      </c>
      <c r="F106" s="88">
        <v>1</v>
      </c>
      <c r="G106" s="98">
        <v>0.5</v>
      </c>
      <c r="H106" s="88"/>
      <c r="I106" s="98">
        <v>0</v>
      </c>
      <c r="J106" s="88"/>
      <c r="K106" s="98">
        <v>0</v>
      </c>
      <c r="L106" s="88">
        <v>2</v>
      </c>
      <c r="M106" s="89">
        <v>1</v>
      </c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5" customHeight="1" x14ac:dyDescent="0.3">
      <c r="A107" s="84" t="s">
        <v>28</v>
      </c>
      <c r="B107" s="88">
        <v>98</v>
      </c>
      <c r="C107" s="98">
        <v>0.90740740740740744</v>
      </c>
      <c r="D107" s="88">
        <v>1</v>
      </c>
      <c r="E107" s="98">
        <v>9.2592592592592587E-3</v>
      </c>
      <c r="F107" s="88">
        <v>4</v>
      </c>
      <c r="G107" s="98">
        <v>3.7037037037037035E-2</v>
      </c>
      <c r="H107" s="88">
        <v>2</v>
      </c>
      <c r="I107" s="98">
        <v>1.8518518518518517E-2</v>
      </c>
      <c r="J107" s="88">
        <v>3</v>
      </c>
      <c r="K107" s="98">
        <v>2.7777777777777776E-2</v>
      </c>
      <c r="L107" s="88">
        <v>108</v>
      </c>
      <c r="M107" s="89">
        <v>1</v>
      </c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5" customHeight="1" x14ac:dyDescent="0.3">
      <c r="A108" s="84"/>
      <c r="B108" s="88"/>
      <c r="C108" s="89"/>
      <c r="D108" s="88"/>
      <c r="E108" s="89"/>
      <c r="F108" s="88"/>
      <c r="G108" s="89"/>
      <c r="H108" s="88"/>
      <c r="I108" s="89"/>
      <c r="J108" s="88"/>
      <c r="K108" s="89"/>
      <c r="L108" s="88"/>
      <c r="M108" s="89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5" customHeight="1" x14ac:dyDescent="0.3">
      <c r="A109" s="84" t="s">
        <v>29</v>
      </c>
      <c r="B109" s="88"/>
      <c r="C109" s="89"/>
      <c r="D109" s="88"/>
      <c r="E109" s="89"/>
      <c r="F109" s="88"/>
      <c r="G109" s="89"/>
      <c r="H109" s="88"/>
      <c r="I109" s="89"/>
      <c r="J109" s="88"/>
      <c r="K109" s="89"/>
      <c r="L109" s="88"/>
      <c r="M109" s="8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5" customHeight="1" x14ac:dyDescent="0.3">
      <c r="A110" s="90" t="s">
        <v>9</v>
      </c>
      <c r="B110" s="88">
        <v>113</v>
      </c>
      <c r="C110" s="98">
        <v>0.91869918699186992</v>
      </c>
      <c r="D110" s="88">
        <v>1</v>
      </c>
      <c r="E110" s="98">
        <v>8.130081300813009E-3</v>
      </c>
      <c r="F110" s="88">
        <v>6</v>
      </c>
      <c r="G110" s="98">
        <v>4.878048780487805E-2</v>
      </c>
      <c r="H110" s="88"/>
      <c r="I110" s="98">
        <v>0</v>
      </c>
      <c r="J110" s="88">
        <v>3</v>
      </c>
      <c r="K110" s="98">
        <v>2.4390243902439025E-2</v>
      </c>
      <c r="L110" s="88">
        <v>123</v>
      </c>
      <c r="M110" s="89">
        <v>1</v>
      </c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5" customHeight="1" x14ac:dyDescent="0.3">
      <c r="A111" s="90" t="s">
        <v>10</v>
      </c>
      <c r="B111" s="88">
        <v>1</v>
      </c>
      <c r="C111" s="98">
        <v>0.5</v>
      </c>
      <c r="D111" s="88"/>
      <c r="E111" s="98">
        <v>0</v>
      </c>
      <c r="F111" s="88">
        <v>1</v>
      </c>
      <c r="G111" s="98">
        <v>0.5</v>
      </c>
      <c r="H111" s="88"/>
      <c r="I111" s="98">
        <v>0</v>
      </c>
      <c r="J111" s="88"/>
      <c r="K111" s="98">
        <v>0</v>
      </c>
      <c r="L111" s="88">
        <v>2</v>
      </c>
      <c r="M111" s="89">
        <v>1</v>
      </c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5" customHeight="1" x14ac:dyDescent="0.3">
      <c r="A112" s="84" t="s">
        <v>30</v>
      </c>
      <c r="B112" s="88">
        <v>114</v>
      </c>
      <c r="C112" s="98">
        <v>0.91200000000000003</v>
      </c>
      <c r="D112" s="88">
        <v>1</v>
      </c>
      <c r="E112" s="98">
        <v>8.0000000000000002E-3</v>
      </c>
      <c r="F112" s="88">
        <v>7</v>
      </c>
      <c r="G112" s="98">
        <v>5.6000000000000001E-2</v>
      </c>
      <c r="H112" s="88"/>
      <c r="I112" s="98">
        <v>0</v>
      </c>
      <c r="J112" s="88">
        <v>3</v>
      </c>
      <c r="K112" s="98">
        <v>2.4E-2</v>
      </c>
      <c r="L112" s="88">
        <v>125</v>
      </c>
      <c r="M112" s="89">
        <v>1</v>
      </c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15" customHeight="1" x14ac:dyDescent="0.3">
      <c r="A113" s="84"/>
      <c r="B113" s="88"/>
      <c r="C113" s="89"/>
      <c r="D113" s="88"/>
      <c r="E113" s="89"/>
      <c r="F113" s="88"/>
      <c r="G113" s="89"/>
      <c r="H113" s="88"/>
      <c r="I113" s="89"/>
      <c r="J113" s="88"/>
      <c r="K113" s="89"/>
      <c r="L113" s="88"/>
      <c r="M113" s="89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18" customHeight="1" x14ac:dyDescent="0.3">
      <c r="A114" s="84" t="s">
        <v>31</v>
      </c>
      <c r="B114" s="88"/>
      <c r="C114" s="89"/>
      <c r="D114" s="88"/>
      <c r="E114" s="89"/>
      <c r="F114" s="88"/>
      <c r="G114" s="89"/>
      <c r="H114" s="88"/>
      <c r="I114" s="89"/>
      <c r="J114" s="88"/>
      <c r="K114" s="89"/>
      <c r="L114" s="88"/>
      <c r="M114" s="89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18" customHeight="1" x14ac:dyDescent="0.3">
      <c r="A115" s="90" t="s">
        <v>9</v>
      </c>
      <c r="B115" s="88">
        <v>100</v>
      </c>
      <c r="C115" s="98">
        <v>0.93457943925233644</v>
      </c>
      <c r="D115" s="88"/>
      <c r="E115" s="98">
        <v>0</v>
      </c>
      <c r="F115" s="88">
        <v>6</v>
      </c>
      <c r="G115" s="98">
        <v>5.6074766355140186E-2</v>
      </c>
      <c r="H115" s="88"/>
      <c r="I115" s="98">
        <v>0</v>
      </c>
      <c r="J115" s="88">
        <v>1</v>
      </c>
      <c r="K115" s="98">
        <v>9.3457943925233638E-3</v>
      </c>
      <c r="L115" s="88">
        <v>107</v>
      </c>
      <c r="M115" s="89">
        <v>1</v>
      </c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8" customHeight="1" x14ac:dyDescent="0.3">
      <c r="A116" s="90" t="s">
        <v>10</v>
      </c>
      <c r="B116" s="88"/>
      <c r="C116" s="98">
        <v>0</v>
      </c>
      <c r="D116" s="88"/>
      <c r="E116" s="98">
        <v>0</v>
      </c>
      <c r="F116" s="88">
        <v>3</v>
      </c>
      <c r="G116" s="98">
        <v>1</v>
      </c>
      <c r="H116" s="88"/>
      <c r="I116" s="98">
        <v>0</v>
      </c>
      <c r="J116" s="88"/>
      <c r="K116" s="98">
        <v>0</v>
      </c>
      <c r="L116" s="88">
        <v>3</v>
      </c>
      <c r="M116" s="89">
        <v>1</v>
      </c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18" customHeight="1" x14ac:dyDescent="0.3">
      <c r="A117" s="84" t="s">
        <v>32</v>
      </c>
      <c r="B117" s="88">
        <v>100</v>
      </c>
      <c r="C117" s="98">
        <v>0.90909090909090906</v>
      </c>
      <c r="D117" s="88"/>
      <c r="E117" s="98">
        <v>0</v>
      </c>
      <c r="F117" s="88">
        <v>9</v>
      </c>
      <c r="G117" s="98">
        <v>8.1818181818181818E-2</v>
      </c>
      <c r="H117" s="88"/>
      <c r="I117" s="98">
        <v>0</v>
      </c>
      <c r="J117" s="88">
        <v>1</v>
      </c>
      <c r="K117" s="98">
        <v>9.0909090909090905E-3</v>
      </c>
      <c r="L117" s="88">
        <v>110</v>
      </c>
      <c r="M117" s="89">
        <v>1</v>
      </c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18" customHeight="1" x14ac:dyDescent="0.3">
      <c r="A118" s="84"/>
      <c r="B118" s="88"/>
      <c r="C118" s="89"/>
      <c r="D118" s="88"/>
      <c r="E118" s="89"/>
      <c r="F118" s="88"/>
      <c r="G118" s="89"/>
      <c r="H118" s="88"/>
      <c r="I118" s="89"/>
      <c r="J118" s="88"/>
      <c r="K118" s="89"/>
      <c r="L118" s="88"/>
      <c r="M118" s="89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18" customHeight="1" x14ac:dyDescent="0.3">
      <c r="A119" s="84" t="s">
        <v>33</v>
      </c>
      <c r="B119" s="88"/>
      <c r="C119" s="89"/>
      <c r="D119" s="88"/>
      <c r="E119" s="89"/>
      <c r="F119" s="88"/>
      <c r="G119" s="89"/>
      <c r="H119" s="88"/>
      <c r="I119" s="89"/>
      <c r="J119" s="88"/>
      <c r="K119" s="89"/>
      <c r="L119" s="88"/>
      <c r="M119" s="8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8" customHeight="1" x14ac:dyDescent="0.3">
      <c r="A120" s="90" t="s">
        <v>9</v>
      </c>
      <c r="B120" s="88">
        <v>88</v>
      </c>
      <c r="C120" s="98">
        <v>0.93617021276595747</v>
      </c>
      <c r="D120" s="88">
        <v>1</v>
      </c>
      <c r="E120" s="98">
        <v>1.0638297872340425E-2</v>
      </c>
      <c r="F120" s="88">
        <v>4</v>
      </c>
      <c r="G120" s="98">
        <v>4.2553191489361701E-2</v>
      </c>
      <c r="H120" s="88"/>
      <c r="I120" s="98">
        <v>0</v>
      </c>
      <c r="J120" s="88">
        <v>1</v>
      </c>
      <c r="K120" s="98">
        <v>1.0638297872340425E-2</v>
      </c>
      <c r="L120" s="88">
        <v>94</v>
      </c>
      <c r="M120" s="89">
        <v>1</v>
      </c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18" customHeight="1" x14ac:dyDescent="0.3">
      <c r="A121" s="90" t="s">
        <v>10</v>
      </c>
      <c r="B121" s="88">
        <v>1</v>
      </c>
      <c r="C121" s="98">
        <v>0.5</v>
      </c>
      <c r="D121" s="88"/>
      <c r="E121" s="98">
        <v>0</v>
      </c>
      <c r="F121" s="88">
        <v>1</v>
      </c>
      <c r="G121" s="98">
        <v>0.5</v>
      </c>
      <c r="H121" s="88"/>
      <c r="I121" s="98">
        <v>0</v>
      </c>
      <c r="J121" s="88"/>
      <c r="K121" s="98">
        <v>0</v>
      </c>
      <c r="L121" s="88">
        <v>2</v>
      </c>
      <c r="M121" s="89">
        <v>1</v>
      </c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18" customHeight="1" x14ac:dyDescent="0.3">
      <c r="A122" s="84" t="s">
        <v>34</v>
      </c>
      <c r="B122" s="88">
        <v>89</v>
      </c>
      <c r="C122" s="98">
        <v>0.92708333333333337</v>
      </c>
      <c r="D122" s="88">
        <v>1</v>
      </c>
      <c r="E122" s="98">
        <v>1.0416666666666666E-2</v>
      </c>
      <c r="F122" s="88">
        <v>5</v>
      </c>
      <c r="G122" s="98">
        <v>5.2083333333333336E-2</v>
      </c>
      <c r="H122" s="88"/>
      <c r="I122" s="98">
        <v>0</v>
      </c>
      <c r="J122" s="88">
        <v>1</v>
      </c>
      <c r="K122" s="98">
        <v>1.0416666666666666E-2</v>
      </c>
      <c r="L122" s="88">
        <v>96</v>
      </c>
      <c r="M122" s="89">
        <v>1</v>
      </c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18" customHeight="1" x14ac:dyDescent="0.3">
      <c r="A123" s="84"/>
      <c r="B123" s="88"/>
      <c r="C123" s="89"/>
      <c r="D123" s="88"/>
      <c r="E123" s="89"/>
      <c r="F123" s="88"/>
      <c r="G123" s="89"/>
      <c r="H123" s="88"/>
      <c r="I123" s="89"/>
      <c r="J123" s="88"/>
      <c r="K123" s="89"/>
      <c r="L123" s="88"/>
      <c r="M123" s="89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ht="18" customHeight="1" x14ac:dyDescent="0.3">
      <c r="A124" s="84" t="s">
        <v>35</v>
      </c>
      <c r="B124" s="88"/>
      <c r="C124" s="89"/>
      <c r="D124" s="88"/>
      <c r="E124" s="89"/>
      <c r="F124" s="88"/>
      <c r="G124" s="89"/>
      <c r="H124" s="88"/>
      <c r="I124" s="89"/>
      <c r="J124" s="88"/>
      <c r="K124" s="89"/>
      <c r="L124" s="88"/>
      <c r="M124" s="89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ht="18" customHeight="1" x14ac:dyDescent="0.3">
      <c r="A125" s="90" t="s">
        <v>9</v>
      </c>
      <c r="B125" s="88">
        <v>105</v>
      </c>
      <c r="C125" s="98">
        <v>0.92105263157894735</v>
      </c>
      <c r="D125" s="88">
        <v>3</v>
      </c>
      <c r="E125" s="98">
        <v>2.6315789473684209E-2</v>
      </c>
      <c r="F125" s="88">
        <v>2</v>
      </c>
      <c r="G125" s="98">
        <v>1.7543859649122806E-2</v>
      </c>
      <c r="H125" s="88">
        <v>1</v>
      </c>
      <c r="I125" s="98">
        <v>8.771929824561403E-3</v>
      </c>
      <c r="J125" s="88">
        <v>3</v>
      </c>
      <c r="K125" s="98">
        <v>2.6315789473684209E-2</v>
      </c>
      <c r="L125" s="88">
        <v>114</v>
      </c>
      <c r="M125" s="89">
        <v>1</v>
      </c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ht="18" customHeight="1" x14ac:dyDescent="0.3">
      <c r="A126" s="90" t="s">
        <v>10</v>
      </c>
      <c r="B126" s="88">
        <v>1</v>
      </c>
      <c r="C126" s="98">
        <v>0.5</v>
      </c>
      <c r="D126" s="88"/>
      <c r="E126" s="98">
        <v>0</v>
      </c>
      <c r="F126" s="88">
        <v>1</v>
      </c>
      <c r="G126" s="98">
        <v>0.5</v>
      </c>
      <c r="H126" s="88"/>
      <c r="I126" s="98">
        <v>0</v>
      </c>
      <c r="J126" s="88"/>
      <c r="K126" s="98">
        <v>0</v>
      </c>
      <c r="L126" s="88">
        <v>2</v>
      </c>
      <c r="M126" s="89">
        <v>1</v>
      </c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ht="18" customHeight="1" x14ac:dyDescent="0.3">
      <c r="A127" s="84" t="s">
        <v>36</v>
      </c>
      <c r="B127" s="88">
        <v>106</v>
      </c>
      <c r="C127" s="98">
        <v>0.91379310344827591</v>
      </c>
      <c r="D127" s="88">
        <v>3</v>
      </c>
      <c r="E127" s="98">
        <v>2.5862068965517241E-2</v>
      </c>
      <c r="F127" s="88">
        <v>3</v>
      </c>
      <c r="G127" s="98">
        <v>2.5862068965517241E-2</v>
      </c>
      <c r="H127" s="88">
        <v>1</v>
      </c>
      <c r="I127" s="98">
        <v>8.6206896551724137E-3</v>
      </c>
      <c r="J127" s="88">
        <v>3</v>
      </c>
      <c r="K127" s="98">
        <v>2.5862068965517241E-2</v>
      </c>
      <c r="L127" s="88">
        <v>116</v>
      </c>
      <c r="M127" s="89">
        <v>1</v>
      </c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ht="18" customHeight="1" x14ac:dyDescent="0.3">
      <c r="A128" s="84"/>
      <c r="B128" s="88"/>
      <c r="C128" s="89"/>
      <c r="D128" s="88"/>
      <c r="E128" s="89"/>
      <c r="F128" s="88"/>
      <c r="G128" s="89"/>
      <c r="H128" s="88"/>
      <c r="I128" s="89"/>
      <c r="J128" s="88"/>
      <c r="K128" s="89"/>
      <c r="L128" s="88"/>
      <c r="M128" s="89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18" customHeight="1" x14ac:dyDescent="0.3">
      <c r="A129" s="84" t="s">
        <v>37</v>
      </c>
      <c r="B129" s="88"/>
      <c r="C129" s="89"/>
      <c r="D129" s="88"/>
      <c r="E129" s="89"/>
      <c r="F129" s="88"/>
      <c r="G129" s="89"/>
      <c r="H129" s="88"/>
      <c r="I129" s="89"/>
      <c r="J129" s="88"/>
      <c r="K129" s="89"/>
      <c r="L129" s="88"/>
      <c r="M129" s="8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18" customHeight="1" x14ac:dyDescent="0.3">
      <c r="A130" s="90" t="s">
        <v>9</v>
      </c>
      <c r="B130" s="88">
        <v>100</v>
      </c>
      <c r="C130" s="98">
        <v>0.94339622641509435</v>
      </c>
      <c r="D130" s="88">
        <v>1</v>
      </c>
      <c r="E130" s="98">
        <v>9.433962264150943E-3</v>
      </c>
      <c r="F130" s="88">
        <v>2</v>
      </c>
      <c r="G130" s="98">
        <v>1.8867924528301886E-2</v>
      </c>
      <c r="H130" s="88">
        <v>2</v>
      </c>
      <c r="I130" s="98">
        <v>1.8867924528301886E-2</v>
      </c>
      <c r="J130" s="88">
        <v>1</v>
      </c>
      <c r="K130" s="98">
        <v>9.433962264150943E-3</v>
      </c>
      <c r="L130" s="88">
        <v>106</v>
      </c>
      <c r="M130" s="89">
        <v>1</v>
      </c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t="18" customHeight="1" x14ac:dyDescent="0.3">
      <c r="A131" s="90" t="s">
        <v>10</v>
      </c>
      <c r="B131" s="88">
        <v>2</v>
      </c>
      <c r="C131" s="98">
        <v>0.66666666666666663</v>
      </c>
      <c r="D131" s="88"/>
      <c r="E131" s="98">
        <v>0</v>
      </c>
      <c r="F131" s="88">
        <v>1</v>
      </c>
      <c r="G131" s="98">
        <v>0.33333333333333331</v>
      </c>
      <c r="H131" s="88"/>
      <c r="I131" s="98">
        <v>0</v>
      </c>
      <c r="J131" s="88"/>
      <c r="K131" s="98">
        <v>0</v>
      </c>
      <c r="L131" s="88">
        <v>3</v>
      </c>
      <c r="M131" s="89">
        <v>1</v>
      </c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18" customHeight="1" x14ac:dyDescent="0.3">
      <c r="A132" s="84" t="s">
        <v>38</v>
      </c>
      <c r="B132" s="88">
        <v>102</v>
      </c>
      <c r="C132" s="98">
        <v>0.93577981651376152</v>
      </c>
      <c r="D132" s="88">
        <v>1</v>
      </c>
      <c r="E132" s="98">
        <v>9.1743119266055051E-3</v>
      </c>
      <c r="F132" s="88">
        <v>3</v>
      </c>
      <c r="G132" s="98">
        <v>2.7522935779816515E-2</v>
      </c>
      <c r="H132" s="88">
        <v>2</v>
      </c>
      <c r="I132" s="98">
        <v>1.834862385321101E-2</v>
      </c>
      <c r="J132" s="88">
        <v>1</v>
      </c>
      <c r="K132" s="98">
        <v>9.1743119266055051E-3</v>
      </c>
      <c r="L132" s="88">
        <v>109</v>
      </c>
      <c r="M132" s="89">
        <v>1</v>
      </c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18" customHeight="1" x14ac:dyDescent="0.3">
      <c r="A133" s="84"/>
      <c r="B133" s="88"/>
      <c r="C133" s="89"/>
      <c r="D133" s="88"/>
      <c r="E133" s="89"/>
      <c r="F133" s="88"/>
      <c r="G133" s="89"/>
      <c r="H133" s="88"/>
      <c r="I133" s="89"/>
      <c r="J133" s="88"/>
      <c r="K133" s="89"/>
      <c r="L133" s="88"/>
      <c r="M133" s="89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18" customHeight="1" x14ac:dyDescent="0.3">
      <c r="A134" s="84" t="s">
        <v>14</v>
      </c>
      <c r="B134" s="88"/>
      <c r="C134" s="89"/>
      <c r="D134" s="88"/>
      <c r="E134" s="89"/>
      <c r="F134" s="88"/>
      <c r="G134" s="89"/>
      <c r="H134" s="88"/>
      <c r="I134" s="89"/>
      <c r="J134" s="88"/>
      <c r="K134" s="89"/>
      <c r="L134" s="88"/>
      <c r="M134" s="89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18" customHeight="1" x14ac:dyDescent="0.25">
      <c r="A135" s="90" t="s">
        <v>9</v>
      </c>
      <c r="B135" s="88">
        <v>91</v>
      </c>
      <c r="C135" s="89">
        <v>0.93814432989690721</v>
      </c>
      <c r="D135" s="88">
        <v>1</v>
      </c>
      <c r="E135" s="89">
        <v>1.0309278350515464E-2</v>
      </c>
      <c r="F135" s="88">
        <v>2</v>
      </c>
      <c r="G135" s="89">
        <v>2.0618556701030927E-2</v>
      </c>
      <c r="H135" s="88"/>
      <c r="I135" s="89">
        <v>0</v>
      </c>
      <c r="J135" s="88">
        <v>3</v>
      </c>
      <c r="K135" s="89">
        <v>3.0927835051546393E-2</v>
      </c>
      <c r="L135" s="88">
        <v>97</v>
      </c>
      <c r="M135" s="89">
        <v>1</v>
      </c>
    </row>
    <row r="136" spans="1:25" ht="18" customHeight="1" x14ac:dyDescent="0.25">
      <c r="A136" s="90" t="s">
        <v>10</v>
      </c>
      <c r="B136" s="88">
        <v>2</v>
      </c>
      <c r="C136" s="89">
        <v>0.66666666666666663</v>
      </c>
      <c r="D136" s="88"/>
      <c r="E136" s="89">
        <v>0</v>
      </c>
      <c r="F136" s="88">
        <v>1</v>
      </c>
      <c r="G136" s="89">
        <v>0.33333333333333331</v>
      </c>
      <c r="H136" s="88"/>
      <c r="I136" s="89">
        <v>0</v>
      </c>
      <c r="J136" s="88"/>
      <c r="K136" s="89">
        <v>0</v>
      </c>
      <c r="L136" s="88">
        <v>3</v>
      </c>
      <c r="M136" s="89">
        <v>1</v>
      </c>
    </row>
    <row r="137" spans="1:25" ht="18" customHeight="1" x14ac:dyDescent="0.25">
      <c r="A137" s="84" t="s">
        <v>15</v>
      </c>
      <c r="B137" s="88">
        <v>93</v>
      </c>
      <c r="C137" s="89">
        <v>0.93</v>
      </c>
      <c r="D137" s="88">
        <v>1</v>
      </c>
      <c r="E137" s="89">
        <v>0.01</v>
      </c>
      <c r="F137" s="88">
        <v>3</v>
      </c>
      <c r="G137" s="89">
        <v>0.03</v>
      </c>
      <c r="H137" s="88"/>
      <c r="I137" s="89">
        <v>0</v>
      </c>
      <c r="J137" s="88">
        <v>3</v>
      </c>
      <c r="K137" s="89">
        <v>0.03</v>
      </c>
      <c r="L137" s="88">
        <v>100</v>
      </c>
      <c r="M137" s="89">
        <v>1</v>
      </c>
    </row>
    <row r="138" spans="1:25" ht="18" customHeight="1" x14ac:dyDescent="0.25">
      <c r="A138" s="84"/>
      <c r="B138" s="88"/>
      <c r="C138" s="89"/>
      <c r="D138" s="88"/>
      <c r="E138" s="89"/>
      <c r="F138" s="88"/>
      <c r="G138" s="89"/>
      <c r="H138" s="88"/>
      <c r="I138" s="89"/>
      <c r="J138" s="88"/>
      <c r="K138" s="89"/>
      <c r="L138" s="88"/>
      <c r="M138" s="89"/>
    </row>
    <row r="139" spans="1:25" ht="18" customHeight="1" x14ac:dyDescent="0.25">
      <c r="A139" s="84" t="s">
        <v>16</v>
      </c>
      <c r="B139" s="88"/>
      <c r="C139" s="89"/>
      <c r="D139" s="88"/>
      <c r="E139" s="89"/>
      <c r="F139" s="88"/>
      <c r="G139" s="89"/>
      <c r="H139" s="88"/>
      <c r="I139" s="89"/>
      <c r="J139" s="88"/>
      <c r="K139" s="89"/>
      <c r="L139" s="88"/>
      <c r="M139" s="89"/>
    </row>
    <row r="140" spans="1:25" ht="18" customHeight="1" x14ac:dyDescent="0.25">
      <c r="A140" s="90" t="s">
        <v>9</v>
      </c>
      <c r="B140" s="88">
        <v>90</v>
      </c>
      <c r="C140" s="89">
        <v>0.95744680851063835</v>
      </c>
      <c r="D140" s="88">
        <v>2</v>
      </c>
      <c r="E140" s="89">
        <v>2.1276595744680851E-2</v>
      </c>
      <c r="F140" s="88">
        <v>2</v>
      </c>
      <c r="G140" s="89">
        <v>2.1276595744680851E-2</v>
      </c>
      <c r="H140" s="88"/>
      <c r="I140" s="89">
        <v>0</v>
      </c>
      <c r="J140" s="88"/>
      <c r="K140" s="89">
        <v>0</v>
      </c>
      <c r="L140" s="88">
        <v>94</v>
      </c>
      <c r="M140" s="89">
        <v>1</v>
      </c>
    </row>
    <row r="141" spans="1:25" ht="18" customHeight="1" x14ac:dyDescent="0.25">
      <c r="A141" s="90" t="s">
        <v>10</v>
      </c>
      <c r="B141" s="88">
        <v>1</v>
      </c>
      <c r="C141" s="89">
        <v>0.5</v>
      </c>
      <c r="D141" s="88"/>
      <c r="E141" s="89">
        <v>0</v>
      </c>
      <c r="F141" s="88">
        <v>1</v>
      </c>
      <c r="G141" s="89">
        <v>0.5</v>
      </c>
      <c r="H141" s="88"/>
      <c r="I141" s="89">
        <v>0</v>
      </c>
      <c r="J141" s="88"/>
      <c r="K141" s="89">
        <v>0</v>
      </c>
      <c r="L141" s="88">
        <v>2</v>
      </c>
      <c r="M141" s="89">
        <v>1</v>
      </c>
    </row>
    <row r="142" spans="1:25" ht="18" customHeight="1" x14ac:dyDescent="0.25">
      <c r="A142" s="84" t="s">
        <v>17</v>
      </c>
      <c r="B142" s="88">
        <v>91</v>
      </c>
      <c r="C142" s="89">
        <v>0.94791666666666663</v>
      </c>
      <c r="D142" s="88">
        <v>2</v>
      </c>
      <c r="E142" s="89">
        <v>2.0833333333333332E-2</v>
      </c>
      <c r="F142" s="88">
        <v>3</v>
      </c>
      <c r="G142" s="89">
        <v>3.125E-2</v>
      </c>
      <c r="H142" s="88"/>
      <c r="I142" s="89">
        <v>0</v>
      </c>
      <c r="J142" s="88"/>
      <c r="K142" s="89">
        <v>0</v>
      </c>
      <c r="L142" s="88">
        <v>96</v>
      </c>
      <c r="M142" s="89">
        <v>1</v>
      </c>
    </row>
    <row r="143" spans="1:25" ht="18" customHeight="1" x14ac:dyDescent="0.25">
      <c r="A143" s="84"/>
      <c r="B143" s="88"/>
      <c r="C143" s="89"/>
      <c r="D143" s="88"/>
      <c r="E143" s="89"/>
      <c r="F143" s="88"/>
      <c r="G143" s="89"/>
      <c r="H143" s="88"/>
      <c r="I143" s="89"/>
      <c r="J143" s="88"/>
      <c r="K143" s="89"/>
      <c r="L143" s="88"/>
      <c r="M143" s="89"/>
    </row>
    <row r="144" spans="1:25" ht="18" customHeight="1" x14ac:dyDescent="0.25">
      <c r="A144" s="84" t="s">
        <v>18</v>
      </c>
      <c r="B144" s="88"/>
      <c r="C144" s="89"/>
      <c r="D144" s="88"/>
      <c r="E144" s="89"/>
      <c r="F144" s="88"/>
      <c r="G144" s="89"/>
      <c r="H144" s="88"/>
      <c r="I144" s="89"/>
      <c r="J144" s="88"/>
      <c r="K144" s="89"/>
      <c r="L144" s="88"/>
      <c r="M144" s="89"/>
    </row>
    <row r="145" spans="1:13" ht="18" customHeight="1" x14ac:dyDescent="0.25">
      <c r="A145" s="90" t="s">
        <v>9</v>
      </c>
      <c r="B145" s="88">
        <v>83</v>
      </c>
      <c r="C145" s="89">
        <v>0.94318181818181823</v>
      </c>
      <c r="D145" s="88">
        <v>3</v>
      </c>
      <c r="E145" s="89">
        <v>3.4090909090909088E-2</v>
      </c>
      <c r="F145" s="88"/>
      <c r="G145" s="89">
        <v>0</v>
      </c>
      <c r="H145" s="88"/>
      <c r="I145" s="89">
        <v>0</v>
      </c>
      <c r="J145" s="88">
        <v>2</v>
      </c>
      <c r="K145" s="89">
        <v>2.2727272727272728E-2</v>
      </c>
      <c r="L145" s="88">
        <v>88</v>
      </c>
      <c r="M145" s="89">
        <v>1</v>
      </c>
    </row>
    <row r="146" spans="1:13" ht="18" customHeight="1" x14ac:dyDescent="0.25">
      <c r="A146" s="90" t="s">
        <v>10</v>
      </c>
      <c r="B146" s="88">
        <v>1</v>
      </c>
      <c r="C146" s="89">
        <v>0.5</v>
      </c>
      <c r="D146" s="88"/>
      <c r="E146" s="89">
        <v>0</v>
      </c>
      <c r="F146" s="88">
        <v>1</v>
      </c>
      <c r="G146" s="89">
        <v>0.5</v>
      </c>
      <c r="H146" s="88"/>
      <c r="I146" s="89">
        <v>0</v>
      </c>
      <c r="J146" s="88"/>
      <c r="K146" s="89">
        <v>0</v>
      </c>
      <c r="L146" s="88">
        <v>2</v>
      </c>
      <c r="M146" s="89">
        <v>1</v>
      </c>
    </row>
    <row r="147" spans="1:13" ht="18" customHeight="1" x14ac:dyDescent="0.25">
      <c r="A147" s="84" t="s">
        <v>19</v>
      </c>
      <c r="B147" s="88">
        <v>84</v>
      </c>
      <c r="C147" s="89">
        <v>0.93333333333333335</v>
      </c>
      <c r="D147" s="88">
        <v>3</v>
      </c>
      <c r="E147" s="89">
        <v>3.3333333333333333E-2</v>
      </c>
      <c r="F147" s="88">
        <v>1</v>
      </c>
      <c r="G147" s="89">
        <v>1.1111111111111112E-2</v>
      </c>
      <c r="H147" s="88"/>
      <c r="I147" s="89">
        <v>0</v>
      </c>
      <c r="J147" s="88">
        <v>2</v>
      </c>
      <c r="K147" s="89">
        <v>2.2222222222222223E-2</v>
      </c>
      <c r="L147" s="88">
        <v>90</v>
      </c>
      <c r="M147" s="89">
        <v>1</v>
      </c>
    </row>
    <row r="148" spans="1:13" ht="18" customHeight="1" x14ac:dyDescent="0.25">
      <c r="A148" s="84"/>
      <c r="B148" s="88"/>
      <c r="C148" s="89"/>
      <c r="D148" s="88"/>
      <c r="E148" s="89"/>
      <c r="F148" s="88"/>
      <c r="G148" s="89"/>
      <c r="H148" s="88"/>
      <c r="I148" s="89"/>
      <c r="J148" s="88"/>
      <c r="K148" s="89"/>
      <c r="L148" s="88"/>
      <c r="M148" s="89"/>
    </row>
    <row r="149" spans="1:13" ht="18" customHeight="1" x14ac:dyDescent="0.25">
      <c r="A149" s="84" t="s">
        <v>20</v>
      </c>
      <c r="B149" s="88"/>
      <c r="C149" s="89"/>
      <c r="D149" s="88"/>
      <c r="E149" s="89"/>
      <c r="F149" s="88"/>
      <c r="G149" s="89"/>
      <c r="H149" s="88"/>
      <c r="I149" s="89"/>
      <c r="J149" s="88"/>
      <c r="K149" s="89"/>
      <c r="L149" s="88"/>
      <c r="M149" s="89"/>
    </row>
    <row r="150" spans="1:13" ht="18" customHeight="1" x14ac:dyDescent="0.25">
      <c r="A150" s="90" t="s">
        <v>9</v>
      </c>
      <c r="B150" s="88">
        <v>97</v>
      </c>
      <c r="C150" s="89">
        <v>0.94174757281553401</v>
      </c>
      <c r="D150" s="88">
        <v>3</v>
      </c>
      <c r="E150" s="89">
        <v>2.9126213592233011E-2</v>
      </c>
      <c r="F150" s="88">
        <v>1</v>
      </c>
      <c r="G150" s="89">
        <v>9.7087378640776691E-3</v>
      </c>
      <c r="H150" s="88"/>
      <c r="I150" s="89">
        <v>0</v>
      </c>
      <c r="J150" s="88">
        <v>2</v>
      </c>
      <c r="K150" s="89">
        <v>1.9417475728155338E-2</v>
      </c>
      <c r="L150" s="88">
        <v>103</v>
      </c>
      <c r="M150" s="89">
        <v>1</v>
      </c>
    </row>
    <row r="151" spans="1:13" ht="18" customHeight="1" x14ac:dyDescent="0.25">
      <c r="A151" s="90" t="s">
        <v>10</v>
      </c>
      <c r="B151" s="88">
        <v>4</v>
      </c>
      <c r="C151" s="89">
        <v>0.8</v>
      </c>
      <c r="D151" s="88"/>
      <c r="E151" s="89">
        <v>0</v>
      </c>
      <c r="F151" s="88">
        <v>1</v>
      </c>
      <c r="G151" s="89">
        <v>0.2</v>
      </c>
      <c r="H151" s="88"/>
      <c r="I151" s="89">
        <v>0</v>
      </c>
      <c r="J151" s="88"/>
      <c r="K151" s="89">
        <v>0</v>
      </c>
      <c r="L151" s="88">
        <v>5</v>
      </c>
      <c r="M151" s="89">
        <v>1</v>
      </c>
    </row>
    <row r="152" spans="1:13" ht="18" customHeight="1" x14ac:dyDescent="0.25">
      <c r="A152" s="84" t="s">
        <v>21</v>
      </c>
      <c r="B152" s="88">
        <v>101</v>
      </c>
      <c r="C152" s="89">
        <v>0.93518518518518523</v>
      </c>
      <c r="D152" s="88">
        <v>3</v>
      </c>
      <c r="E152" s="89">
        <v>2.7777777777777776E-2</v>
      </c>
      <c r="F152" s="88">
        <v>2</v>
      </c>
      <c r="G152" s="89">
        <v>1.8518518518518517E-2</v>
      </c>
      <c r="H152" s="88"/>
      <c r="I152" s="89">
        <v>0</v>
      </c>
      <c r="J152" s="88">
        <v>2</v>
      </c>
      <c r="K152" s="89">
        <v>1.8518518518518517E-2</v>
      </c>
      <c r="L152" s="88">
        <v>108</v>
      </c>
      <c r="M152" s="89">
        <v>1</v>
      </c>
    </row>
    <row r="153" spans="1:13" ht="18" customHeight="1" x14ac:dyDescent="0.25">
      <c r="A153" s="84"/>
      <c r="B153" s="88"/>
      <c r="C153" s="89"/>
      <c r="D153" s="88"/>
      <c r="E153" s="89"/>
      <c r="F153" s="88"/>
      <c r="G153" s="89"/>
      <c r="H153" s="88"/>
      <c r="I153" s="89"/>
      <c r="J153" s="88"/>
      <c r="K153" s="89"/>
      <c r="L153" s="88"/>
      <c r="M153" s="89"/>
    </row>
    <row r="154" spans="1:13" ht="18" customHeight="1" x14ac:dyDescent="0.25">
      <c r="A154" s="84" t="s">
        <v>22</v>
      </c>
      <c r="B154" s="88"/>
      <c r="C154" s="89"/>
      <c r="D154" s="88"/>
      <c r="E154" s="89"/>
      <c r="F154" s="88"/>
      <c r="G154" s="89"/>
      <c r="H154" s="88"/>
      <c r="I154" s="89"/>
      <c r="J154" s="88"/>
      <c r="K154" s="89"/>
      <c r="L154" s="88"/>
      <c r="M154" s="89"/>
    </row>
    <row r="155" spans="1:13" ht="18" customHeight="1" x14ac:dyDescent="0.25">
      <c r="A155" s="90" t="s">
        <v>9</v>
      </c>
      <c r="B155" s="88">
        <v>90</v>
      </c>
      <c r="C155" s="89">
        <v>0.9375</v>
      </c>
      <c r="D155" s="88">
        <v>3</v>
      </c>
      <c r="E155" s="89">
        <v>3.125E-2</v>
      </c>
      <c r="F155" s="88">
        <v>1</v>
      </c>
      <c r="G155" s="89">
        <v>1.0416666666666666E-2</v>
      </c>
      <c r="H155" s="88"/>
      <c r="I155" s="89">
        <v>0</v>
      </c>
      <c r="J155" s="88">
        <v>2</v>
      </c>
      <c r="K155" s="89">
        <v>2.0833333333333332E-2</v>
      </c>
      <c r="L155" s="88">
        <v>96</v>
      </c>
      <c r="M155" s="89">
        <v>1</v>
      </c>
    </row>
    <row r="156" spans="1:13" ht="18" customHeight="1" x14ac:dyDescent="0.25">
      <c r="A156" s="90" t="s">
        <v>10</v>
      </c>
      <c r="B156" s="88">
        <v>3</v>
      </c>
      <c r="C156" s="89">
        <v>0.75</v>
      </c>
      <c r="D156" s="88"/>
      <c r="E156" s="89">
        <v>0</v>
      </c>
      <c r="F156" s="88">
        <v>1</v>
      </c>
      <c r="G156" s="89">
        <v>0.25</v>
      </c>
      <c r="H156" s="88"/>
      <c r="I156" s="89">
        <v>0</v>
      </c>
      <c r="J156" s="88"/>
      <c r="K156" s="89">
        <v>0</v>
      </c>
      <c r="L156" s="88">
        <v>4</v>
      </c>
      <c r="M156" s="89">
        <v>1</v>
      </c>
    </row>
    <row r="157" spans="1:13" ht="18" customHeight="1" x14ac:dyDescent="0.25">
      <c r="A157" s="84" t="s">
        <v>23</v>
      </c>
      <c r="B157" s="88">
        <v>93</v>
      </c>
      <c r="C157" s="89">
        <v>0.93</v>
      </c>
      <c r="D157" s="88">
        <v>3</v>
      </c>
      <c r="E157" s="89">
        <v>0.03</v>
      </c>
      <c r="F157" s="88">
        <v>2</v>
      </c>
      <c r="G157" s="89">
        <v>0.02</v>
      </c>
      <c r="H157" s="88"/>
      <c r="I157" s="89">
        <v>0</v>
      </c>
      <c r="J157" s="88">
        <v>2</v>
      </c>
      <c r="K157" s="89">
        <v>0.02</v>
      </c>
      <c r="L157" s="88">
        <v>100</v>
      </c>
      <c r="M157" s="89">
        <v>1</v>
      </c>
    </row>
    <row r="158" spans="1:13" ht="18" customHeight="1" x14ac:dyDescent="0.25">
      <c r="A158" s="84"/>
      <c r="B158" s="88"/>
      <c r="C158" s="89"/>
      <c r="D158" s="88"/>
      <c r="E158" s="89"/>
      <c r="F158" s="88"/>
      <c r="G158" s="89"/>
      <c r="H158" s="88"/>
      <c r="I158" s="89"/>
      <c r="J158" s="88"/>
      <c r="K158" s="89"/>
      <c r="L158" s="88"/>
      <c r="M158" s="89"/>
    </row>
    <row r="159" spans="1:13" ht="18" customHeight="1" x14ac:dyDescent="0.25">
      <c r="A159" s="84" t="s">
        <v>24</v>
      </c>
      <c r="B159" s="88"/>
      <c r="C159" s="89"/>
      <c r="D159" s="88"/>
      <c r="E159" s="89"/>
      <c r="F159" s="88"/>
      <c r="G159" s="89"/>
      <c r="H159" s="88"/>
      <c r="I159" s="89"/>
      <c r="J159" s="88"/>
      <c r="K159" s="89"/>
      <c r="L159" s="88"/>
      <c r="M159" s="89"/>
    </row>
    <row r="160" spans="1:13" ht="18" customHeight="1" x14ac:dyDescent="0.25">
      <c r="A160" s="90" t="s">
        <v>9</v>
      </c>
      <c r="B160" s="88">
        <v>89</v>
      </c>
      <c r="C160" s="89">
        <v>0.93684210526315792</v>
      </c>
      <c r="D160" s="88">
        <v>2</v>
      </c>
      <c r="E160" s="89">
        <v>2.1052631578947368E-2</v>
      </c>
      <c r="F160" s="88">
        <v>1</v>
      </c>
      <c r="G160" s="89">
        <v>1.0526315789473684E-2</v>
      </c>
      <c r="H160" s="88">
        <v>1</v>
      </c>
      <c r="I160" s="89">
        <v>1.0526315789473684E-2</v>
      </c>
      <c r="J160" s="88">
        <v>2</v>
      </c>
      <c r="K160" s="89">
        <v>2.1052631578947368E-2</v>
      </c>
      <c r="L160" s="88">
        <v>95</v>
      </c>
      <c r="M160" s="89">
        <v>1</v>
      </c>
    </row>
    <row r="161" spans="1:13" ht="18" customHeight="1" x14ac:dyDescent="0.25">
      <c r="A161" s="90" t="s">
        <v>10</v>
      </c>
      <c r="B161" s="88">
        <v>2</v>
      </c>
      <c r="C161" s="89">
        <v>0.66666666666666663</v>
      </c>
      <c r="D161" s="88"/>
      <c r="E161" s="89">
        <v>0</v>
      </c>
      <c r="F161" s="88">
        <v>1</v>
      </c>
      <c r="G161" s="89">
        <v>0.33333333333333331</v>
      </c>
      <c r="H161" s="88"/>
      <c r="I161" s="89">
        <v>0</v>
      </c>
      <c r="J161" s="88"/>
      <c r="K161" s="89">
        <v>0</v>
      </c>
      <c r="L161" s="88">
        <v>3</v>
      </c>
      <c r="M161" s="89">
        <v>1</v>
      </c>
    </row>
    <row r="162" spans="1:13" ht="18" customHeight="1" x14ac:dyDescent="0.25">
      <c r="A162" s="84" t="s">
        <v>25</v>
      </c>
      <c r="B162" s="88">
        <v>91</v>
      </c>
      <c r="C162" s="89">
        <v>0.9285714285714286</v>
      </c>
      <c r="D162" s="88">
        <v>2</v>
      </c>
      <c r="E162" s="89">
        <v>2.0408163265306121E-2</v>
      </c>
      <c r="F162" s="88">
        <v>2</v>
      </c>
      <c r="G162" s="89">
        <v>2.0408163265306121E-2</v>
      </c>
      <c r="H162" s="88">
        <v>1</v>
      </c>
      <c r="I162" s="89">
        <v>1.020408163265306E-2</v>
      </c>
      <c r="J162" s="88">
        <v>2</v>
      </c>
      <c r="K162" s="89">
        <v>2.0408163265306121E-2</v>
      </c>
      <c r="L162" s="88">
        <v>98</v>
      </c>
      <c r="M162" s="89">
        <v>1</v>
      </c>
    </row>
    <row r="163" spans="1:13" ht="18" customHeight="1" x14ac:dyDescent="0.25">
      <c r="A163" s="84"/>
      <c r="B163" s="88"/>
      <c r="C163" s="89"/>
      <c r="D163" s="88"/>
      <c r="E163" s="89"/>
      <c r="F163" s="88"/>
      <c r="G163" s="89"/>
      <c r="H163" s="88"/>
      <c r="I163" s="89"/>
      <c r="J163" s="88"/>
      <c r="K163" s="89"/>
      <c r="L163" s="88"/>
      <c r="M163" s="89"/>
    </row>
    <row r="164" spans="1:13" ht="18" customHeight="1" thickBot="1" x14ac:dyDescent="0.3">
      <c r="A164" s="94" t="s">
        <v>11</v>
      </c>
      <c r="B164" s="88">
        <v>2119</v>
      </c>
      <c r="C164" s="98">
        <v>0.91771329579904726</v>
      </c>
      <c r="D164" s="88">
        <v>51</v>
      </c>
      <c r="E164" s="98">
        <v>2.2087483759203119E-2</v>
      </c>
      <c r="F164" s="88">
        <v>63</v>
      </c>
      <c r="G164" s="98">
        <v>2.7284538761368559E-2</v>
      </c>
      <c r="H164" s="88">
        <v>31</v>
      </c>
      <c r="I164" s="98">
        <v>1.3425725422260719E-2</v>
      </c>
      <c r="J164" s="88">
        <v>45</v>
      </c>
      <c r="K164" s="98">
        <v>1.9488956258120398E-2</v>
      </c>
      <c r="L164" s="88">
        <v>2309</v>
      </c>
      <c r="M164" s="89">
        <v>1</v>
      </c>
    </row>
    <row r="165" spans="1:13" ht="18" customHeight="1" thickTop="1" x14ac:dyDescent="0.25"/>
    <row r="168" spans="1:13" ht="18" customHeight="1" x14ac:dyDescent="0.25">
      <c r="E168" s="7" t="s">
        <v>172</v>
      </c>
    </row>
  </sheetData>
  <mergeCells count="17">
    <mergeCell ref="F2:G2"/>
    <mergeCell ref="H2:I2"/>
    <mergeCell ref="J2:K2"/>
    <mergeCell ref="A1:L1"/>
    <mergeCell ref="A9:L9"/>
    <mergeCell ref="B2:C2"/>
    <mergeCell ref="D2:E2"/>
    <mergeCell ref="B11:C11"/>
    <mergeCell ref="D11:E11"/>
    <mergeCell ref="F11:G11"/>
    <mergeCell ref="H11:I11"/>
    <mergeCell ref="J11:K11"/>
    <mergeCell ref="B10:C10"/>
    <mergeCell ref="D10:E10"/>
    <mergeCell ref="F10:G10"/>
    <mergeCell ref="H10:I10"/>
    <mergeCell ref="J10:K10"/>
  </mergeCells>
  <printOptions horizontalCentered="1"/>
  <pageMargins left="0.7" right="0.7" top="0.75" bottom="0.75" header="0.3" footer="0.3"/>
  <pageSetup scale="53" fitToHeight="0" orientation="portrait" r:id="rId3"/>
  <rowBreaks count="2" manualBreakCount="2">
    <brk id="82" max="12" man="1"/>
    <brk id="148" max="12" man="1"/>
  </rowBreaks>
  <colBreaks count="1" manualBreakCount="1">
    <brk id="12" max="1048575" man="1"/>
  </colBreaks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4842-CF71-4625-9121-3096271B27C3}">
  <sheetPr>
    <pageSetUpPr fitToPage="1"/>
  </sheetPr>
  <dimension ref="A1:Y164"/>
  <sheetViews>
    <sheetView tabSelected="1" view="pageBreakPreview" zoomScale="74" zoomScaleNormal="100" zoomScaleSheetLayoutView="74" zoomScalePageLayoutView="110" workbookViewId="0">
      <selection activeCell="F9" sqref="F9"/>
    </sheetView>
  </sheetViews>
  <sheetFormatPr defaultColWidth="9.109375" defaultRowHeight="18" customHeight="1" x14ac:dyDescent="0.25"/>
  <cols>
    <col min="1" max="1" width="14.109375" style="4" customWidth="1"/>
    <col min="2" max="2" width="13.77734375" style="4" customWidth="1"/>
    <col min="3" max="3" width="13.77734375" style="7" customWidth="1"/>
    <col min="4" max="4" width="13.77734375" style="4" customWidth="1"/>
    <col min="5" max="5" width="13.77734375" style="7" customWidth="1"/>
    <col min="6" max="6" width="13.77734375" style="4" customWidth="1"/>
    <col min="7" max="7" width="13.77734375" style="7" customWidth="1"/>
    <col min="8" max="8" width="13.77734375" style="4" customWidth="1"/>
    <col min="9" max="9" width="13.77734375" style="7" customWidth="1"/>
    <col min="10" max="10" width="13.77734375" style="4" customWidth="1"/>
    <col min="11" max="11" width="14.77734375" style="6" customWidth="1"/>
    <col min="12" max="12" width="15.44140625" style="4" customWidth="1"/>
    <col min="13" max="13" width="29.21875" style="4" customWidth="1"/>
    <col min="14" max="16384" width="9.109375" style="4"/>
  </cols>
  <sheetData>
    <row r="1" spans="1:25" ht="19.5" customHeight="1" x14ac:dyDescent="0.25">
      <c r="A1" s="65" t="s">
        <v>120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25" ht="22.5" customHeight="1" x14ac:dyDescent="0.25">
      <c r="A2" s="5"/>
      <c r="B2" s="64" t="s">
        <v>0</v>
      </c>
      <c r="C2" s="64"/>
      <c r="D2" s="64" t="s">
        <v>1</v>
      </c>
      <c r="E2" s="64"/>
      <c r="F2" s="64" t="s">
        <v>2</v>
      </c>
      <c r="G2" s="64"/>
      <c r="H2" s="64" t="s">
        <v>3</v>
      </c>
      <c r="I2" s="64"/>
      <c r="J2" s="64" t="s">
        <v>115</v>
      </c>
      <c r="K2" s="64"/>
      <c r="L2" s="5" t="s">
        <v>4</v>
      </c>
    </row>
    <row r="3" spans="1:25" ht="12.75" hidden="1" customHeight="1" x14ac:dyDescent="0.3">
      <c r="A3" s="82"/>
      <c r="B3" s="86" t="s">
        <v>5</v>
      </c>
      <c r="C3" s="98"/>
      <c r="D3" s="82"/>
      <c r="E3" s="82"/>
      <c r="F3" s="82"/>
      <c r="G3" s="82"/>
      <c r="H3" s="82"/>
      <c r="I3" s="82"/>
      <c r="J3" s="82"/>
      <c r="K3" s="82"/>
      <c r="L3" s="82"/>
      <c r="M3" s="82"/>
      <c r="N3"/>
      <c r="O3"/>
      <c r="P3"/>
      <c r="Q3"/>
      <c r="R3"/>
      <c r="S3"/>
      <c r="T3"/>
      <c r="U3"/>
      <c r="V3"/>
      <c r="W3"/>
      <c r="X3"/>
      <c r="Y3"/>
    </row>
    <row r="4" spans="1:25" ht="12.75" hidden="1" customHeight="1" x14ac:dyDescent="0.3">
      <c r="A4" s="82"/>
      <c r="B4" s="83" t="s">
        <v>0</v>
      </c>
      <c r="C4" s="83"/>
      <c r="D4" s="84" t="s">
        <v>1</v>
      </c>
      <c r="E4" s="84"/>
      <c r="F4" s="85" t="s">
        <v>2</v>
      </c>
      <c r="G4" s="85"/>
      <c r="H4" s="84" t="s">
        <v>3</v>
      </c>
      <c r="I4" s="84"/>
      <c r="J4" s="82" t="s">
        <v>111</v>
      </c>
      <c r="K4" s="82"/>
      <c r="L4" s="82" t="s">
        <v>4</v>
      </c>
      <c r="M4" s="82" t="s">
        <v>6</v>
      </c>
      <c r="N4"/>
      <c r="O4"/>
      <c r="P4"/>
      <c r="Q4"/>
      <c r="R4"/>
      <c r="S4"/>
      <c r="T4"/>
      <c r="U4"/>
      <c r="V4"/>
      <c r="W4"/>
      <c r="X4"/>
      <c r="Y4"/>
    </row>
    <row r="5" spans="1:25" ht="15" customHeight="1" x14ac:dyDescent="0.3">
      <c r="A5" s="101" t="s">
        <v>5</v>
      </c>
      <c r="B5" s="101" t="s">
        <v>7</v>
      </c>
      <c r="C5" s="101" t="s">
        <v>8</v>
      </c>
      <c r="D5" s="101" t="s">
        <v>7</v>
      </c>
      <c r="E5" s="101" t="s">
        <v>8</v>
      </c>
      <c r="F5" s="101" t="s">
        <v>7</v>
      </c>
      <c r="G5" s="101" t="s">
        <v>8</v>
      </c>
      <c r="H5" s="101" t="s">
        <v>7</v>
      </c>
      <c r="I5" s="101" t="s">
        <v>8</v>
      </c>
      <c r="J5" s="101" t="s">
        <v>7</v>
      </c>
      <c r="K5" s="101" t="s">
        <v>8</v>
      </c>
      <c r="L5" s="101"/>
      <c r="M5" s="101"/>
      <c r="N5"/>
      <c r="O5"/>
      <c r="P5"/>
      <c r="Q5"/>
      <c r="R5"/>
      <c r="S5"/>
      <c r="T5"/>
      <c r="U5"/>
      <c r="V5"/>
      <c r="W5"/>
      <c r="X5"/>
      <c r="Y5"/>
    </row>
    <row r="6" spans="1:25" ht="15" customHeight="1" x14ac:dyDescent="0.3">
      <c r="A6" s="87" t="s">
        <v>9</v>
      </c>
      <c r="B6" s="102">
        <v>160331.35999999999</v>
      </c>
      <c r="C6" s="98">
        <v>0.90827080822103601</v>
      </c>
      <c r="D6" s="88">
        <v>3684.5</v>
      </c>
      <c r="E6" s="98">
        <v>2.0872546661429226E-2</v>
      </c>
      <c r="F6" s="88">
        <v>3087</v>
      </c>
      <c r="G6" s="98">
        <v>1.7487732811462077E-2</v>
      </c>
      <c r="H6" s="88">
        <v>1633.3</v>
      </c>
      <c r="I6" s="98">
        <v>9.2525798512993231E-3</v>
      </c>
      <c r="J6" s="88">
        <v>3875.5</v>
      </c>
      <c r="K6" s="98">
        <v>2.1954554101335042E-2</v>
      </c>
      <c r="L6" s="102">
        <v>172611.65999999997</v>
      </c>
      <c r="M6" s="89">
        <v>0.97783822164656164</v>
      </c>
      <c r="N6"/>
      <c r="O6"/>
      <c r="P6"/>
      <c r="Q6"/>
      <c r="R6"/>
      <c r="S6"/>
      <c r="T6"/>
      <c r="U6"/>
      <c r="V6"/>
      <c r="W6"/>
      <c r="X6"/>
      <c r="Y6"/>
    </row>
    <row r="7" spans="1:25" ht="15" customHeight="1" x14ac:dyDescent="0.3">
      <c r="A7" s="87" t="s">
        <v>10</v>
      </c>
      <c r="B7" s="102">
        <v>1876.08</v>
      </c>
      <c r="C7" s="98">
        <v>1.0627918941667565E-2</v>
      </c>
      <c r="D7" s="88">
        <v>0</v>
      </c>
      <c r="E7" s="98">
        <v>0</v>
      </c>
      <c r="F7" s="88">
        <v>2036</v>
      </c>
      <c r="G7" s="98">
        <v>1.1533859411770906E-2</v>
      </c>
      <c r="H7" s="88"/>
      <c r="I7" s="98">
        <v>0</v>
      </c>
      <c r="J7" s="88"/>
      <c r="K7" s="98">
        <v>0</v>
      </c>
      <c r="L7" s="102">
        <v>3912.08</v>
      </c>
      <c r="M7" s="89">
        <v>2.2161778353438469E-2</v>
      </c>
      <c r="N7"/>
      <c r="O7"/>
      <c r="P7"/>
      <c r="Q7"/>
      <c r="R7"/>
      <c r="S7"/>
      <c r="T7"/>
      <c r="U7"/>
      <c r="V7"/>
      <c r="W7"/>
      <c r="X7"/>
      <c r="Y7"/>
    </row>
    <row r="8" spans="1:25" ht="15" customHeight="1" x14ac:dyDescent="0.3">
      <c r="A8" s="87" t="s">
        <v>11</v>
      </c>
      <c r="B8" s="102">
        <v>162207.43999999997</v>
      </c>
      <c r="C8" s="98">
        <v>0.91889872716270349</v>
      </c>
      <c r="D8" s="88">
        <v>3684.5</v>
      </c>
      <c r="E8" s="98">
        <v>2.0872546661429226E-2</v>
      </c>
      <c r="F8" s="88">
        <v>5123</v>
      </c>
      <c r="G8" s="98">
        <v>2.9021592223232983E-2</v>
      </c>
      <c r="H8" s="88">
        <v>1633.3</v>
      </c>
      <c r="I8" s="98">
        <v>9.2525798512993231E-3</v>
      </c>
      <c r="J8" s="88">
        <v>3875.5</v>
      </c>
      <c r="K8" s="98">
        <v>2.1954554101335042E-2</v>
      </c>
      <c r="L8" s="102">
        <v>176523.73999999996</v>
      </c>
      <c r="M8" s="89">
        <v>1</v>
      </c>
      <c r="N8"/>
      <c r="O8"/>
      <c r="P8"/>
      <c r="Q8"/>
      <c r="R8"/>
      <c r="S8"/>
      <c r="T8"/>
      <c r="U8"/>
      <c r="V8"/>
      <c r="W8"/>
      <c r="X8"/>
      <c r="Y8"/>
    </row>
    <row r="9" spans="1:25" ht="15" customHeight="1" x14ac:dyDescent="0.25">
      <c r="A9" s="65" t="s">
        <v>12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</row>
    <row r="10" spans="1:25" ht="22.5" customHeight="1" x14ac:dyDescent="0.25">
      <c r="A10" s="5"/>
      <c r="B10" s="64" t="s">
        <v>0</v>
      </c>
      <c r="C10" s="64"/>
      <c r="D10" s="64" t="s">
        <v>1</v>
      </c>
      <c r="E10" s="64"/>
      <c r="F10" s="64" t="s">
        <v>2</v>
      </c>
      <c r="G10" s="64"/>
      <c r="H10" s="64" t="s">
        <v>3</v>
      </c>
      <c r="I10" s="64"/>
      <c r="J10" s="64" t="s">
        <v>115</v>
      </c>
      <c r="K10" s="64"/>
      <c r="L10" s="5" t="s">
        <v>4</v>
      </c>
    </row>
    <row r="11" spans="1:25" ht="15" hidden="1" customHeight="1" x14ac:dyDescent="0.3">
      <c r="A11" s="108"/>
      <c r="B11" s="110" t="s">
        <v>5</v>
      </c>
      <c r="C11" s="111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/>
      <c r="O11"/>
      <c r="P11"/>
      <c r="Q11"/>
      <c r="R11"/>
      <c r="S11"/>
      <c r="T11"/>
      <c r="U11"/>
      <c r="V11"/>
      <c r="W11"/>
      <c r="X11"/>
      <c r="Y11"/>
    </row>
    <row r="12" spans="1:25" ht="15" hidden="1" customHeight="1" x14ac:dyDescent="0.3">
      <c r="A12" s="109"/>
      <c r="B12" s="83" t="s">
        <v>0</v>
      </c>
      <c r="C12" s="83"/>
      <c r="D12" s="84" t="s">
        <v>1</v>
      </c>
      <c r="E12" s="84"/>
      <c r="F12" s="85" t="s">
        <v>2</v>
      </c>
      <c r="G12" s="85"/>
      <c r="H12" s="84" t="s">
        <v>3</v>
      </c>
      <c r="I12" s="84"/>
      <c r="J12" s="82" t="s">
        <v>111</v>
      </c>
      <c r="K12" s="82"/>
      <c r="L12" s="82" t="s">
        <v>4</v>
      </c>
      <c r="M12" s="82" t="s">
        <v>6</v>
      </c>
      <c r="N12"/>
      <c r="O12"/>
      <c r="P12"/>
      <c r="Q12"/>
      <c r="R12"/>
      <c r="S12"/>
      <c r="T12"/>
      <c r="U12"/>
      <c r="V12"/>
      <c r="W12"/>
      <c r="X12"/>
      <c r="Y12"/>
    </row>
    <row r="13" spans="1:25" ht="15" customHeight="1" x14ac:dyDescent="0.3">
      <c r="A13" s="101" t="s">
        <v>5</v>
      </c>
      <c r="B13" s="101" t="s">
        <v>7</v>
      </c>
      <c r="C13" s="106" t="s">
        <v>8</v>
      </c>
      <c r="D13" s="101" t="s">
        <v>7</v>
      </c>
      <c r="E13" s="101" t="s">
        <v>8</v>
      </c>
      <c r="F13" s="101" t="s">
        <v>7</v>
      </c>
      <c r="G13" s="101" t="s">
        <v>8</v>
      </c>
      <c r="H13" s="101" t="s">
        <v>7</v>
      </c>
      <c r="I13" s="101" t="s">
        <v>8</v>
      </c>
      <c r="J13" s="101" t="s">
        <v>7</v>
      </c>
      <c r="K13" s="101" t="s">
        <v>8</v>
      </c>
      <c r="L13" s="101"/>
      <c r="M13" s="101"/>
      <c r="N13"/>
      <c r="O13"/>
      <c r="P13"/>
      <c r="Q13"/>
      <c r="R13"/>
      <c r="S13"/>
      <c r="T13"/>
      <c r="U13"/>
      <c r="V13"/>
      <c r="W13"/>
      <c r="X13"/>
      <c r="Y13"/>
    </row>
    <row r="14" spans="1:25" ht="15" customHeight="1" x14ac:dyDescent="0.3">
      <c r="A14" s="87" t="s">
        <v>13</v>
      </c>
      <c r="B14" s="88"/>
      <c r="C14" s="98"/>
      <c r="D14" s="88"/>
      <c r="E14" s="98"/>
      <c r="F14" s="88"/>
      <c r="G14" s="98"/>
      <c r="H14" s="88"/>
      <c r="I14" s="98"/>
      <c r="J14" s="88"/>
      <c r="K14" s="98"/>
      <c r="L14" s="88"/>
      <c r="M14" s="89"/>
      <c r="N14"/>
      <c r="O14"/>
      <c r="P14"/>
      <c r="Q14"/>
      <c r="R14"/>
      <c r="S14"/>
      <c r="T14"/>
      <c r="U14"/>
      <c r="V14"/>
      <c r="W14"/>
      <c r="X14"/>
      <c r="Y14"/>
    </row>
    <row r="15" spans="1:25" s="56" customFormat="1" ht="15" customHeight="1" x14ac:dyDescent="0.3">
      <c r="A15" s="97" t="s">
        <v>14</v>
      </c>
      <c r="B15" s="88"/>
      <c r="C15" s="98"/>
      <c r="D15" s="88"/>
      <c r="E15" s="98"/>
      <c r="F15" s="88"/>
      <c r="G15" s="98"/>
      <c r="H15" s="88"/>
      <c r="I15" s="98"/>
      <c r="J15" s="88"/>
      <c r="K15" s="98"/>
      <c r="L15" s="88"/>
      <c r="M15" s="89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spans="1:25" ht="15" customHeight="1" x14ac:dyDescent="0.3">
      <c r="A16" s="90" t="s">
        <v>9</v>
      </c>
      <c r="B16" s="88">
        <v>184</v>
      </c>
      <c r="C16" s="98">
        <v>0.93877551020408168</v>
      </c>
      <c r="D16" s="88"/>
      <c r="E16" s="98">
        <v>0</v>
      </c>
      <c r="F16" s="88"/>
      <c r="G16" s="98">
        <v>0</v>
      </c>
      <c r="H16" s="88">
        <v>12</v>
      </c>
      <c r="I16" s="98">
        <v>6.1224489795918366E-2</v>
      </c>
      <c r="J16" s="88"/>
      <c r="K16" s="98">
        <v>0</v>
      </c>
      <c r="L16" s="102">
        <v>196</v>
      </c>
      <c r="M16" s="89">
        <v>1</v>
      </c>
      <c r="N16"/>
      <c r="O16"/>
      <c r="P16"/>
      <c r="Q16"/>
      <c r="R16"/>
      <c r="S16"/>
      <c r="T16"/>
      <c r="U16"/>
      <c r="V16"/>
      <c r="W16"/>
      <c r="X16"/>
      <c r="Y16"/>
    </row>
    <row r="17" spans="1:25" ht="15" customHeight="1" x14ac:dyDescent="0.3">
      <c r="A17" s="90" t="s">
        <v>10</v>
      </c>
      <c r="B17" s="88">
        <v>0</v>
      </c>
      <c r="C17" s="98"/>
      <c r="D17" s="88"/>
      <c r="E17" s="98"/>
      <c r="F17" s="88"/>
      <c r="G17" s="98"/>
      <c r="H17" s="88"/>
      <c r="I17" s="98"/>
      <c r="J17" s="88"/>
      <c r="K17" s="98"/>
      <c r="L17" s="102">
        <v>0</v>
      </c>
      <c r="M17" s="89"/>
      <c r="N17"/>
      <c r="O17"/>
      <c r="P17"/>
      <c r="Q17"/>
      <c r="R17"/>
      <c r="S17"/>
      <c r="T17"/>
      <c r="U17"/>
      <c r="V17"/>
      <c r="W17"/>
      <c r="X17"/>
      <c r="Y17"/>
    </row>
    <row r="18" spans="1:25" s="56" customFormat="1" ht="15" customHeight="1" x14ac:dyDescent="0.3">
      <c r="A18" s="97" t="s">
        <v>15</v>
      </c>
      <c r="B18" s="95">
        <v>184</v>
      </c>
      <c r="C18" s="99">
        <v>0.93877551020408168</v>
      </c>
      <c r="D18" s="95"/>
      <c r="E18" s="99">
        <v>0</v>
      </c>
      <c r="F18" s="95"/>
      <c r="G18" s="99">
        <v>0</v>
      </c>
      <c r="H18" s="95">
        <v>12</v>
      </c>
      <c r="I18" s="99">
        <v>6.1224489795918366E-2</v>
      </c>
      <c r="J18" s="95"/>
      <c r="K18" s="99">
        <v>0</v>
      </c>
      <c r="L18" s="107">
        <v>196</v>
      </c>
      <c r="M18" s="96">
        <v>1</v>
      </c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spans="1:25" ht="15" customHeight="1" x14ac:dyDescent="0.3">
      <c r="A19" s="84"/>
      <c r="B19" s="88"/>
      <c r="C19" s="98"/>
      <c r="D19" s="88"/>
      <c r="E19" s="98"/>
      <c r="F19" s="88"/>
      <c r="G19" s="98"/>
      <c r="H19" s="88"/>
      <c r="I19" s="98"/>
      <c r="J19" s="88"/>
      <c r="K19" s="98"/>
      <c r="L19" s="88"/>
      <c r="M19" s="89"/>
      <c r="N19"/>
      <c r="O19"/>
      <c r="P19"/>
      <c r="Q19"/>
      <c r="R19"/>
      <c r="S19"/>
      <c r="T19"/>
      <c r="U19"/>
      <c r="V19"/>
      <c r="W19"/>
      <c r="X19"/>
      <c r="Y19"/>
    </row>
    <row r="20" spans="1:25" ht="15" customHeight="1" x14ac:dyDescent="0.3">
      <c r="A20" s="84" t="s">
        <v>16</v>
      </c>
      <c r="B20" s="88"/>
      <c r="C20" s="98"/>
      <c r="D20" s="88"/>
      <c r="E20" s="98"/>
      <c r="F20" s="88"/>
      <c r="G20" s="98"/>
      <c r="H20" s="88"/>
      <c r="I20" s="98"/>
      <c r="J20" s="88"/>
      <c r="K20" s="98"/>
      <c r="L20" s="88"/>
      <c r="M20" s="89"/>
      <c r="N20"/>
      <c r="O20"/>
      <c r="P20"/>
      <c r="Q20"/>
      <c r="R20"/>
      <c r="S20"/>
      <c r="T20"/>
      <c r="U20"/>
      <c r="V20"/>
      <c r="W20"/>
      <c r="X20"/>
      <c r="Y20"/>
    </row>
    <row r="21" spans="1:25" ht="15" customHeight="1" x14ac:dyDescent="0.3">
      <c r="A21" s="90" t="s">
        <v>9</v>
      </c>
      <c r="B21" s="88">
        <v>1353.5</v>
      </c>
      <c r="C21" s="98">
        <v>0.96437477734235844</v>
      </c>
      <c r="D21" s="88"/>
      <c r="E21" s="98">
        <v>0</v>
      </c>
      <c r="F21" s="88"/>
      <c r="G21" s="98">
        <v>0</v>
      </c>
      <c r="H21" s="88">
        <v>50</v>
      </c>
      <c r="I21" s="98">
        <v>3.5625222657641613E-2</v>
      </c>
      <c r="J21" s="88"/>
      <c r="K21" s="98">
        <v>0</v>
      </c>
      <c r="L21" s="102">
        <v>1403.5</v>
      </c>
      <c r="M21" s="89">
        <v>1</v>
      </c>
      <c r="N21"/>
      <c r="O21"/>
      <c r="P21"/>
      <c r="Q21"/>
      <c r="R21"/>
      <c r="S21"/>
      <c r="T21"/>
      <c r="U21"/>
      <c r="V21"/>
      <c r="W21"/>
      <c r="X21"/>
      <c r="Y21"/>
    </row>
    <row r="22" spans="1:25" ht="15" customHeight="1" x14ac:dyDescent="0.3">
      <c r="A22" s="90" t="s">
        <v>10</v>
      </c>
      <c r="B22" s="88">
        <v>0</v>
      </c>
      <c r="C22" s="98"/>
      <c r="D22" s="88"/>
      <c r="E22" s="98"/>
      <c r="F22" s="88"/>
      <c r="G22" s="98"/>
      <c r="H22" s="88"/>
      <c r="I22" s="98"/>
      <c r="J22" s="88"/>
      <c r="K22" s="98"/>
      <c r="L22" s="102">
        <v>0</v>
      </c>
      <c r="M22" s="89"/>
      <c r="N22"/>
      <c r="O22"/>
      <c r="P22"/>
      <c r="Q22"/>
      <c r="R22"/>
      <c r="S22"/>
      <c r="T22"/>
      <c r="U22"/>
      <c r="V22"/>
      <c r="W22"/>
      <c r="X22"/>
      <c r="Y22"/>
    </row>
    <row r="23" spans="1:25" ht="15" customHeight="1" x14ac:dyDescent="0.3">
      <c r="A23" s="84" t="s">
        <v>17</v>
      </c>
      <c r="B23" s="88">
        <v>1353.5</v>
      </c>
      <c r="C23" s="98">
        <v>0.96437477734235844</v>
      </c>
      <c r="D23" s="88"/>
      <c r="E23" s="98">
        <v>0</v>
      </c>
      <c r="F23" s="88"/>
      <c r="G23" s="98">
        <v>0</v>
      </c>
      <c r="H23" s="88">
        <v>50</v>
      </c>
      <c r="I23" s="98">
        <v>3.5625222657641613E-2</v>
      </c>
      <c r="J23" s="88"/>
      <c r="K23" s="98">
        <v>0</v>
      </c>
      <c r="L23" s="102">
        <v>1403.5</v>
      </c>
      <c r="M23" s="89">
        <v>1</v>
      </c>
      <c r="N23"/>
      <c r="O23"/>
      <c r="P23"/>
      <c r="Q23"/>
      <c r="R23"/>
      <c r="S23"/>
      <c r="T23"/>
      <c r="U23"/>
      <c r="V23"/>
      <c r="W23"/>
      <c r="X23"/>
      <c r="Y23"/>
    </row>
    <row r="24" spans="1:25" ht="15" customHeight="1" x14ac:dyDescent="0.3">
      <c r="A24" s="84"/>
      <c r="B24" s="88"/>
      <c r="C24" s="98"/>
      <c r="D24" s="88"/>
      <c r="E24" s="98"/>
      <c r="F24" s="88"/>
      <c r="G24" s="98"/>
      <c r="H24" s="88"/>
      <c r="I24" s="98"/>
      <c r="J24" s="88"/>
      <c r="K24" s="98"/>
      <c r="L24" s="88"/>
      <c r="M24" s="89"/>
      <c r="N24"/>
      <c r="O24"/>
      <c r="P24"/>
      <c r="Q24"/>
      <c r="R24"/>
      <c r="S24"/>
      <c r="T24"/>
      <c r="U24"/>
      <c r="V24"/>
      <c r="W24"/>
      <c r="X24"/>
      <c r="Y24"/>
    </row>
    <row r="25" spans="1:25" ht="15" customHeight="1" x14ac:dyDescent="0.3">
      <c r="A25" s="84" t="s">
        <v>18</v>
      </c>
      <c r="B25" s="88"/>
      <c r="C25" s="98"/>
      <c r="D25" s="88"/>
      <c r="E25" s="98"/>
      <c r="F25" s="88"/>
      <c r="G25" s="98"/>
      <c r="H25" s="88"/>
      <c r="I25" s="98"/>
      <c r="J25" s="88"/>
      <c r="K25" s="98"/>
      <c r="L25" s="88"/>
      <c r="M25" s="89"/>
      <c r="N25"/>
      <c r="O25"/>
      <c r="P25"/>
      <c r="Q25"/>
      <c r="R25"/>
      <c r="S25"/>
      <c r="T25"/>
      <c r="U25"/>
      <c r="V25"/>
      <c r="W25"/>
      <c r="X25"/>
      <c r="Y25"/>
    </row>
    <row r="26" spans="1:25" ht="15" customHeight="1" x14ac:dyDescent="0.3">
      <c r="A26" s="90" t="s">
        <v>9</v>
      </c>
      <c r="B26" s="88">
        <v>1809.5</v>
      </c>
      <c r="C26" s="98">
        <v>0.83406314819082739</v>
      </c>
      <c r="D26" s="88">
        <v>88</v>
      </c>
      <c r="E26" s="98">
        <v>4.0562341553353309E-2</v>
      </c>
      <c r="F26" s="88"/>
      <c r="G26" s="98">
        <v>0</v>
      </c>
      <c r="H26" s="88">
        <v>120</v>
      </c>
      <c r="I26" s="98">
        <v>5.5312283936390871E-2</v>
      </c>
      <c r="J26" s="88">
        <v>152</v>
      </c>
      <c r="K26" s="98">
        <v>7.0062226319428433E-2</v>
      </c>
      <c r="L26" s="102">
        <v>2169.5</v>
      </c>
      <c r="M26" s="89">
        <v>1</v>
      </c>
      <c r="N26"/>
      <c r="O26"/>
      <c r="P26"/>
      <c r="Q26"/>
      <c r="R26"/>
      <c r="S26"/>
      <c r="T26"/>
      <c r="U26"/>
      <c r="V26"/>
      <c r="W26"/>
      <c r="X26"/>
      <c r="Y26"/>
    </row>
    <row r="27" spans="1:25" ht="15" customHeight="1" x14ac:dyDescent="0.3">
      <c r="A27" s="90" t="s">
        <v>10</v>
      </c>
      <c r="B27" s="88">
        <v>0</v>
      </c>
      <c r="C27" s="98"/>
      <c r="D27" s="88"/>
      <c r="E27" s="98"/>
      <c r="F27" s="88"/>
      <c r="G27" s="98"/>
      <c r="H27" s="88"/>
      <c r="I27" s="98"/>
      <c r="J27" s="88"/>
      <c r="K27" s="98"/>
      <c r="L27" s="102">
        <v>0</v>
      </c>
      <c r="M27" s="89"/>
      <c r="N27"/>
      <c r="O27"/>
      <c r="P27"/>
      <c r="Q27"/>
      <c r="R27"/>
      <c r="S27"/>
      <c r="T27"/>
      <c r="U27"/>
      <c r="V27"/>
      <c r="W27"/>
      <c r="X27"/>
      <c r="Y27"/>
    </row>
    <row r="28" spans="1:25" ht="15" customHeight="1" x14ac:dyDescent="0.3">
      <c r="A28" s="84" t="s">
        <v>19</v>
      </c>
      <c r="B28" s="88">
        <v>1809.5</v>
      </c>
      <c r="C28" s="98">
        <v>0.83406314819082739</v>
      </c>
      <c r="D28" s="88">
        <v>88</v>
      </c>
      <c r="E28" s="98">
        <v>4.0562341553353309E-2</v>
      </c>
      <c r="F28" s="88"/>
      <c r="G28" s="98">
        <v>0</v>
      </c>
      <c r="H28" s="88">
        <v>120</v>
      </c>
      <c r="I28" s="98">
        <v>5.5312283936390871E-2</v>
      </c>
      <c r="J28" s="88">
        <v>152</v>
      </c>
      <c r="K28" s="98">
        <v>7.0062226319428433E-2</v>
      </c>
      <c r="L28" s="102">
        <v>2169.5</v>
      </c>
      <c r="M28" s="89">
        <v>1</v>
      </c>
      <c r="N28"/>
      <c r="O28"/>
      <c r="P28"/>
      <c r="Q28"/>
      <c r="R28"/>
      <c r="S28"/>
      <c r="T28"/>
      <c r="U28"/>
      <c r="V28"/>
      <c r="W28"/>
      <c r="X28"/>
      <c r="Y28"/>
    </row>
    <row r="29" spans="1:25" ht="15" customHeight="1" x14ac:dyDescent="0.3">
      <c r="A29" s="84"/>
      <c r="B29" s="88"/>
      <c r="C29" s="98"/>
      <c r="D29" s="88"/>
      <c r="E29" s="98"/>
      <c r="F29" s="88"/>
      <c r="G29" s="98"/>
      <c r="H29" s="88"/>
      <c r="I29" s="98"/>
      <c r="J29" s="88"/>
      <c r="K29" s="98"/>
      <c r="L29" s="88"/>
      <c r="M29" s="89"/>
      <c r="N29"/>
      <c r="O29"/>
      <c r="P29"/>
      <c r="Q29"/>
      <c r="R29"/>
      <c r="S29"/>
      <c r="T29"/>
      <c r="U29"/>
      <c r="V29"/>
      <c r="W29"/>
      <c r="X29"/>
      <c r="Y29"/>
    </row>
    <row r="30" spans="1:25" ht="15" customHeight="1" x14ac:dyDescent="0.3">
      <c r="A30" s="84" t="s">
        <v>20</v>
      </c>
      <c r="B30" s="88"/>
      <c r="C30" s="98"/>
      <c r="D30" s="88"/>
      <c r="E30" s="98"/>
      <c r="F30" s="88"/>
      <c r="G30" s="98"/>
      <c r="H30" s="88"/>
      <c r="I30" s="98"/>
      <c r="J30" s="88"/>
      <c r="K30" s="98"/>
      <c r="L30" s="88"/>
      <c r="M30" s="89"/>
      <c r="N30"/>
      <c r="O30"/>
      <c r="P30"/>
      <c r="Q30"/>
      <c r="R30"/>
      <c r="S30"/>
      <c r="T30"/>
      <c r="U30"/>
      <c r="V30"/>
      <c r="W30"/>
      <c r="X30"/>
      <c r="Y30"/>
    </row>
    <row r="31" spans="1:25" ht="15" customHeight="1" x14ac:dyDescent="0.3">
      <c r="A31" s="90" t="s">
        <v>9</v>
      </c>
      <c r="B31" s="88">
        <v>3182</v>
      </c>
      <c r="C31" s="98">
        <v>0.8413537810682179</v>
      </c>
      <c r="D31" s="88">
        <v>200</v>
      </c>
      <c r="E31" s="98">
        <v>5.2882072977260712E-2</v>
      </c>
      <c r="F31" s="88"/>
      <c r="G31" s="98">
        <v>0</v>
      </c>
      <c r="H31" s="88">
        <v>200</v>
      </c>
      <c r="I31" s="98">
        <v>5.2882072977260712E-2</v>
      </c>
      <c r="J31" s="88">
        <v>200</v>
      </c>
      <c r="K31" s="98">
        <v>5.2882072977260712E-2</v>
      </c>
      <c r="L31" s="102">
        <v>3782</v>
      </c>
      <c r="M31" s="89">
        <v>1</v>
      </c>
      <c r="N31"/>
      <c r="O31"/>
      <c r="P31"/>
      <c r="Q31"/>
      <c r="R31"/>
      <c r="S31"/>
      <c r="T31"/>
      <c r="U31"/>
      <c r="V31"/>
      <c r="W31"/>
      <c r="X31"/>
      <c r="Y31"/>
    </row>
    <row r="32" spans="1:25" ht="15" customHeight="1" x14ac:dyDescent="0.3">
      <c r="A32" s="90" t="s">
        <v>10</v>
      </c>
      <c r="B32" s="88">
        <v>0</v>
      </c>
      <c r="C32" s="98"/>
      <c r="D32" s="88"/>
      <c r="E32" s="98"/>
      <c r="F32" s="88"/>
      <c r="G32" s="98"/>
      <c r="H32" s="88"/>
      <c r="I32" s="98"/>
      <c r="J32" s="88"/>
      <c r="K32" s="98"/>
      <c r="L32" s="102">
        <v>0</v>
      </c>
      <c r="M32" s="89"/>
      <c r="N32"/>
      <c r="O32"/>
      <c r="P32"/>
      <c r="Q32"/>
      <c r="R32"/>
      <c r="S32"/>
      <c r="T32"/>
      <c r="U32"/>
      <c r="V32"/>
      <c r="W32"/>
      <c r="X32"/>
      <c r="Y32"/>
    </row>
    <row r="33" spans="1:25" ht="15" customHeight="1" x14ac:dyDescent="0.3">
      <c r="A33" s="84" t="s">
        <v>21</v>
      </c>
      <c r="B33" s="88">
        <v>3182</v>
      </c>
      <c r="C33" s="98">
        <v>0.8413537810682179</v>
      </c>
      <c r="D33" s="88">
        <v>200</v>
      </c>
      <c r="E33" s="98">
        <v>5.2882072977260712E-2</v>
      </c>
      <c r="F33" s="88"/>
      <c r="G33" s="98">
        <v>0</v>
      </c>
      <c r="H33" s="88">
        <v>200</v>
      </c>
      <c r="I33" s="98">
        <v>5.2882072977260712E-2</v>
      </c>
      <c r="J33" s="88">
        <v>200</v>
      </c>
      <c r="K33" s="98">
        <v>5.2882072977260712E-2</v>
      </c>
      <c r="L33" s="102">
        <v>3782</v>
      </c>
      <c r="M33" s="89">
        <v>1</v>
      </c>
      <c r="N33"/>
      <c r="O33"/>
      <c r="P33"/>
      <c r="Q33"/>
      <c r="R33"/>
      <c r="S33"/>
      <c r="T33"/>
      <c r="U33"/>
      <c r="V33"/>
      <c r="W33"/>
      <c r="X33"/>
      <c r="Y33"/>
    </row>
    <row r="34" spans="1:25" ht="15" customHeight="1" x14ac:dyDescent="0.3">
      <c r="A34" s="84"/>
      <c r="B34" s="88"/>
      <c r="C34" s="98"/>
      <c r="D34" s="88"/>
      <c r="E34" s="98"/>
      <c r="F34" s="88"/>
      <c r="G34" s="98"/>
      <c r="H34" s="88"/>
      <c r="I34" s="98"/>
      <c r="J34" s="88"/>
      <c r="K34" s="98"/>
      <c r="L34" s="88"/>
      <c r="M34" s="89"/>
      <c r="N34"/>
      <c r="O34"/>
      <c r="P34"/>
      <c r="Q34"/>
      <c r="R34"/>
      <c r="S34"/>
      <c r="T34"/>
      <c r="U34"/>
      <c r="V34"/>
      <c r="W34"/>
      <c r="X34"/>
      <c r="Y34"/>
    </row>
    <row r="35" spans="1:25" ht="15" customHeight="1" x14ac:dyDescent="0.3">
      <c r="A35" s="84" t="s">
        <v>22</v>
      </c>
      <c r="B35" s="88"/>
      <c r="C35" s="98"/>
      <c r="D35" s="88"/>
      <c r="E35" s="98"/>
      <c r="F35" s="88"/>
      <c r="G35" s="98"/>
      <c r="H35" s="88"/>
      <c r="I35" s="98"/>
      <c r="J35" s="88"/>
      <c r="K35" s="98"/>
      <c r="L35" s="88"/>
      <c r="M35" s="89"/>
      <c r="N35"/>
      <c r="O35"/>
      <c r="P35"/>
      <c r="Q35"/>
      <c r="R35"/>
      <c r="S35"/>
      <c r="T35"/>
      <c r="U35"/>
      <c r="V35"/>
      <c r="W35"/>
      <c r="X35"/>
      <c r="Y35"/>
    </row>
    <row r="36" spans="1:25" ht="15" customHeight="1" x14ac:dyDescent="0.3">
      <c r="A36" s="90" t="s">
        <v>9</v>
      </c>
      <c r="B36" s="88">
        <v>2293</v>
      </c>
      <c r="C36" s="98">
        <v>0.83019551049963791</v>
      </c>
      <c r="D36" s="88">
        <v>157</v>
      </c>
      <c r="E36" s="98">
        <v>5.6842867487328023E-2</v>
      </c>
      <c r="F36" s="88"/>
      <c r="G36" s="98">
        <v>0</v>
      </c>
      <c r="H36" s="88">
        <v>160</v>
      </c>
      <c r="I36" s="98">
        <v>5.7929036929761042E-2</v>
      </c>
      <c r="J36" s="88">
        <v>152</v>
      </c>
      <c r="K36" s="98">
        <v>5.5032585083272988E-2</v>
      </c>
      <c r="L36" s="102">
        <v>2762</v>
      </c>
      <c r="M36" s="89">
        <v>1</v>
      </c>
      <c r="N36"/>
      <c r="O36"/>
      <c r="P36"/>
      <c r="Q36"/>
      <c r="R36"/>
      <c r="S36"/>
      <c r="T36"/>
      <c r="U36"/>
      <c r="V36"/>
      <c r="W36"/>
      <c r="X36"/>
      <c r="Y36"/>
    </row>
    <row r="37" spans="1:25" ht="15" customHeight="1" x14ac:dyDescent="0.3">
      <c r="A37" s="90" t="s">
        <v>10</v>
      </c>
      <c r="B37" s="88">
        <v>0</v>
      </c>
      <c r="C37" s="98"/>
      <c r="D37" s="88"/>
      <c r="E37" s="98"/>
      <c r="F37" s="88"/>
      <c r="G37" s="98"/>
      <c r="H37" s="88"/>
      <c r="I37" s="98"/>
      <c r="J37" s="88"/>
      <c r="K37" s="98"/>
      <c r="L37" s="102">
        <v>0</v>
      </c>
      <c r="M37" s="89"/>
      <c r="N37"/>
      <c r="O37"/>
      <c r="P37"/>
      <c r="Q37"/>
      <c r="R37"/>
      <c r="S37"/>
      <c r="T37"/>
      <c r="U37"/>
      <c r="V37"/>
      <c r="W37"/>
      <c r="X37"/>
      <c r="Y37"/>
    </row>
    <row r="38" spans="1:25" ht="15" customHeight="1" x14ac:dyDescent="0.3">
      <c r="A38" s="84" t="s">
        <v>23</v>
      </c>
      <c r="B38" s="88">
        <v>2293</v>
      </c>
      <c r="C38" s="98">
        <v>0.83019551049963791</v>
      </c>
      <c r="D38" s="88">
        <v>157</v>
      </c>
      <c r="E38" s="98">
        <v>5.6842867487328023E-2</v>
      </c>
      <c r="F38" s="88"/>
      <c r="G38" s="98">
        <v>0</v>
      </c>
      <c r="H38" s="88">
        <v>160</v>
      </c>
      <c r="I38" s="98">
        <v>5.7929036929761042E-2</v>
      </c>
      <c r="J38" s="88">
        <v>152</v>
      </c>
      <c r="K38" s="98">
        <v>5.5032585083272988E-2</v>
      </c>
      <c r="L38" s="102">
        <v>2762</v>
      </c>
      <c r="M38" s="89">
        <v>1</v>
      </c>
      <c r="N38"/>
      <c r="O38"/>
      <c r="P38"/>
      <c r="Q38"/>
      <c r="R38"/>
      <c r="S38"/>
      <c r="T38"/>
      <c r="U38"/>
      <c r="V38"/>
      <c r="W38"/>
      <c r="X38"/>
      <c r="Y38"/>
    </row>
    <row r="39" spans="1:25" ht="15" customHeight="1" x14ac:dyDescent="0.3">
      <c r="A39" s="84"/>
      <c r="B39" s="88"/>
      <c r="C39" s="98"/>
      <c r="D39" s="88"/>
      <c r="E39" s="98"/>
      <c r="F39" s="88"/>
      <c r="G39" s="98"/>
      <c r="H39" s="88"/>
      <c r="I39" s="98"/>
      <c r="J39" s="88"/>
      <c r="K39" s="98"/>
      <c r="L39" s="88"/>
      <c r="M39" s="89"/>
      <c r="N39"/>
      <c r="O39"/>
      <c r="P39"/>
      <c r="Q39"/>
      <c r="R39"/>
      <c r="S39"/>
      <c r="T39"/>
      <c r="U39"/>
      <c r="V39"/>
      <c r="W39"/>
      <c r="X39"/>
      <c r="Y39"/>
    </row>
    <row r="40" spans="1:25" ht="15" customHeight="1" x14ac:dyDescent="0.3">
      <c r="A40" s="84" t="s">
        <v>24</v>
      </c>
      <c r="B40" s="88"/>
      <c r="C40" s="98"/>
      <c r="D40" s="88"/>
      <c r="E40" s="98"/>
      <c r="F40" s="88"/>
      <c r="G40" s="98"/>
      <c r="H40" s="88"/>
      <c r="I40" s="98"/>
      <c r="J40" s="88"/>
      <c r="K40" s="98"/>
      <c r="L40" s="88"/>
      <c r="M40" s="89"/>
      <c r="N40"/>
      <c r="O40"/>
      <c r="P40"/>
      <c r="Q40"/>
      <c r="R40"/>
      <c r="S40"/>
      <c r="T40"/>
      <c r="U40"/>
      <c r="V40"/>
      <c r="W40"/>
      <c r="X40"/>
      <c r="Y40"/>
    </row>
    <row r="41" spans="1:25" ht="15" customHeight="1" x14ac:dyDescent="0.3">
      <c r="A41" s="90" t="s">
        <v>9</v>
      </c>
      <c r="B41" s="88">
        <v>2662.5</v>
      </c>
      <c r="C41" s="98">
        <v>0.84416613823715914</v>
      </c>
      <c r="D41" s="88">
        <v>139.5</v>
      </c>
      <c r="E41" s="98">
        <v>4.422954977805961E-2</v>
      </c>
      <c r="F41" s="88"/>
      <c r="G41" s="98">
        <v>0</v>
      </c>
      <c r="H41" s="88">
        <v>168</v>
      </c>
      <c r="I41" s="98">
        <v>5.3265694356372857E-2</v>
      </c>
      <c r="J41" s="88">
        <v>184</v>
      </c>
      <c r="K41" s="98">
        <v>5.8338617628408369E-2</v>
      </c>
      <c r="L41" s="102">
        <v>3154</v>
      </c>
      <c r="M41" s="89">
        <v>1</v>
      </c>
      <c r="N41"/>
      <c r="O41"/>
      <c r="P41"/>
      <c r="Q41"/>
      <c r="R41"/>
      <c r="S41"/>
      <c r="T41"/>
      <c r="U41"/>
      <c r="V41"/>
      <c r="W41"/>
      <c r="X41"/>
      <c r="Y41"/>
    </row>
    <row r="42" spans="1:25" ht="15" customHeight="1" x14ac:dyDescent="0.3">
      <c r="A42" s="90" t="s">
        <v>10</v>
      </c>
      <c r="B42" s="88">
        <v>0</v>
      </c>
      <c r="C42" s="98"/>
      <c r="D42" s="88">
        <v>0</v>
      </c>
      <c r="E42" s="98"/>
      <c r="F42" s="88"/>
      <c r="G42" s="98"/>
      <c r="H42" s="88"/>
      <c r="I42" s="98"/>
      <c r="J42" s="88"/>
      <c r="K42" s="98"/>
      <c r="L42" s="102">
        <v>0</v>
      </c>
      <c r="M42" s="89"/>
      <c r="N42"/>
      <c r="O42"/>
      <c r="P42"/>
      <c r="Q42"/>
      <c r="R42"/>
      <c r="S42"/>
      <c r="T42"/>
      <c r="U42"/>
      <c r="V42"/>
      <c r="W42"/>
      <c r="X42"/>
      <c r="Y42"/>
    </row>
    <row r="43" spans="1:25" ht="15" customHeight="1" x14ac:dyDescent="0.3">
      <c r="A43" s="84" t="s">
        <v>25</v>
      </c>
      <c r="B43" s="88">
        <v>2662.5</v>
      </c>
      <c r="C43" s="98">
        <v>0.84416613823715914</v>
      </c>
      <c r="D43" s="88">
        <v>139.5</v>
      </c>
      <c r="E43" s="98">
        <v>4.422954977805961E-2</v>
      </c>
      <c r="F43" s="88"/>
      <c r="G43" s="98">
        <v>0</v>
      </c>
      <c r="H43" s="88">
        <v>168</v>
      </c>
      <c r="I43" s="98">
        <v>5.3265694356372857E-2</v>
      </c>
      <c r="J43" s="88">
        <v>184</v>
      </c>
      <c r="K43" s="98">
        <v>5.8338617628408369E-2</v>
      </c>
      <c r="L43" s="102">
        <v>3154</v>
      </c>
      <c r="M43" s="89">
        <v>1</v>
      </c>
      <c r="N43"/>
      <c r="O43"/>
      <c r="P43"/>
      <c r="Q43"/>
      <c r="R43"/>
      <c r="S43"/>
      <c r="T43"/>
      <c r="U43"/>
      <c r="V43"/>
      <c r="W43"/>
      <c r="X43"/>
      <c r="Y43"/>
    </row>
    <row r="44" spans="1:25" ht="15" customHeight="1" x14ac:dyDescent="0.3">
      <c r="A44" s="84"/>
      <c r="B44" s="88"/>
      <c r="C44" s="98"/>
      <c r="D44" s="88"/>
      <c r="E44" s="98"/>
      <c r="F44" s="88"/>
      <c r="G44" s="98"/>
      <c r="H44" s="88"/>
      <c r="I44" s="98"/>
      <c r="J44" s="88"/>
      <c r="K44" s="98"/>
      <c r="L44" s="88"/>
      <c r="M44" s="89"/>
      <c r="N44"/>
      <c r="O44"/>
      <c r="P44"/>
      <c r="Q44"/>
      <c r="R44"/>
      <c r="S44"/>
      <c r="T44"/>
      <c r="U44"/>
      <c r="V44"/>
      <c r="W44"/>
      <c r="X44"/>
      <c r="Y44"/>
    </row>
    <row r="45" spans="1:25" ht="15" customHeight="1" x14ac:dyDescent="0.3">
      <c r="A45" s="87" t="s">
        <v>26</v>
      </c>
      <c r="B45" s="88"/>
      <c r="C45" s="98"/>
      <c r="D45" s="88"/>
      <c r="E45" s="98"/>
      <c r="F45" s="88"/>
      <c r="G45" s="98"/>
      <c r="H45" s="88"/>
      <c r="I45" s="98"/>
      <c r="J45" s="88"/>
      <c r="K45" s="98"/>
      <c r="L45" s="88"/>
      <c r="M45" s="89"/>
      <c r="N45"/>
      <c r="O45"/>
      <c r="P45"/>
      <c r="Q45"/>
      <c r="R45"/>
      <c r="S45"/>
      <c r="T45"/>
      <c r="U45"/>
      <c r="V45"/>
      <c r="W45"/>
      <c r="X45"/>
      <c r="Y45"/>
    </row>
    <row r="46" spans="1:25" ht="15" customHeight="1" x14ac:dyDescent="0.3">
      <c r="A46" s="84" t="s">
        <v>27</v>
      </c>
      <c r="B46" s="88"/>
      <c r="C46" s="98"/>
      <c r="D46" s="88"/>
      <c r="E46" s="98"/>
      <c r="F46" s="88"/>
      <c r="G46" s="98"/>
      <c r="H46" s="88"/>
      <c r="I46" s="98"/>
      <c r="J46" s="88"/>
      <c r="K46" s="98"/>
      <c r="L46" s="88"/>
      <c r="M46" s="89"/>
      <c r="N46"/>
      <c r="O46"/>
      <c r="P46"/>
      <c r="Q46"/>
      <c r="R46"/>
      <c r="S46"/>
      <c r="T46"/>
      <c r="U46"/>
      <c r="V46"/>
      <c r="W46"/>
      <c r="X46"/>
      <c r="Y46"/>
    </row>
    <row r="47" spans="1:25" ht="15" customHeight="1" x14ac:dyDescent="0.3">
      <c r="A47" s="90" t="s">
        <v>9</v>
      </c>
      <c r="B47" s="88">
        <v>3205.25</v>
      </c>
      <c r="C47" s="98">
        <v>0.92939470822761872</v>
      </c>
      <c r="D47" s="88">
        <v>19.5</v>
      </c>
      <c r="E47" s="98">
        <v>5.6542225444001452E-3</v>
      </c>
      <c r="F47" s="88"/>
      <c r="G47" s="98">
        <v>0</v>
      </c>
      <c r="H47" s="88">
        <v>128</v>
      </c>
      <c r="I47" s="98">
        <v>3.7114896701703516E-2</v>
      </c>
      <c r="J47" s="88">
        <v>96</v>
      </c>
      <c r="K47" s="98">
        <v>2.7836172526277635E-2</v>
      </c>
      <c r="L47" s="102">
        <v>3448.75</v>
      </c>
      <c r="M47" s="89">
        <v>1</v>
      </c>
      <c r="N47"/>
      <c r="O47"/>
      <c r="P47"/>
      <c r="Q47"/>
      <c r="R47"/>
      <c r="S47"/>
      <c r="T47"/>
      <c r="U47"/>
      <c r="V47"/>
      <c r="W47"/>
      <c r="X47"/>
      <c r="Y47"/>
    </row>
    <row r="48" spans="1:25" ht="15" customHeight="1" x14ac:dyDescent="0.3">
      <c r="A48" s="90" t="s">
        <v>10</v>
      </c>
      <c r="B48" s="88">
        <v>0</v>
      </c>
      <c r="C48" s="98"/>
      <c r="D48" s="88"/>
      <c r="E48" s="98"/>
      <c r="F48" s="88"/>
      <c r="G48" s="98"/>
      <c r="H48" s="88"/>
      <c r="I48" s="98"/>
      <c r="J48" s="88"/>
      <c r="K48" s="98"/>
      <c r="L48" s="102">
        <v>0</v>
      </c>
      <c r="M48" s="89"/>
      <c r="N48"/>
      <c r="O48"/>
      <c r="P48"/>
      <c r="Q48"/>
      <c r="R48"/>
      <c r="S48"/>
      <c r="T48"/>
      <c r="U48"/>
      <c r="V48"/>
      <c r="W48"/>
      <c r="X48"/>
      <c r="Y48"/>
    </row>
    <row r="49" spans="1:25" ht="15" customHeight="1" x14ac:dyDescent="0.3">
      <c r="A49" s="84" t="s">
        <v>28</v>
      </c>
      <c r="B49" s="88">
        <v>3205.25</v>
      </c>
      <c r="C49" s="98">
        <v>0.92939470822761872</v>
      </c>
      <c r="D49" s="88">
        <v>19.5</v>
      </c>
      <c r="E49" s="98">
        <v>5.6542225444001452E-3</v>
      </c>
      <c r="F49" s="88"/>
      <c r="G49" s="98">
        <v>0</v>
      </c>
      <c r="H49" s="88">
        <v>128</v>
      </c>
      <c r="I49" s="98">
        <v>3.7114896701703516E-2</v>
      </c>
      <c r="J49" s="88">
        <v>96</v>
      </c>
      <c r="K49" s="98">
        <v>2.7836172526277635E-2</v>
      </c>
      <c r="L49" s="102">
        <v>3448.75</v>
      </c>
      <c r="M49" s="89">
        <v>1</v>
      </c>
      <c r="N49"/>
      <c r="O49"/>
      <c r="P49"/>
      <c r="Q49"/>
      <c r="R49"/>
      <c r="S49"/>
      <c r="T49"/>
      <c r="U49"/>
      <c r="V49"/>
      <c r="W49"/>
      <c r="X49"/>
      <c r="Y49"/>
    </row>
    <row r="50" spans="1:25" ht="15" customHeight="1" x14ac:dyDescent="0.3">
      <c r="A50" s="84"/>
      <c r="B50" s="88"/>
      <c r="C50" s="98"/>
      <c r="D50" s="88"/>
      <c r="E50" s="98"/>
      <c r="F50" s="88"/>
      <c r="G50" s="98"/>
      <c r="H50" s="88"/>
      <c r="I50" s="98"/>
      <c r="J50" s="88"/>
      <c r="K50" s="98"/>
      <c r="L50" s="88"/>
      <c r="M50" s="89"/>
      <c r="N50"/>
      <c r="O50"/>
      <c r="P50"/>
      <c r="Q50"/>
      <c r="R50"/>
      <c r="S50"/>
      <c r="T50"/>
      <c r="U50"/>
      <c r="V50"/>
      <c r="W50"/>
      <c r="X50"/>
      <c r="Y50"/>
    </row>
    <row r="51" spans="1:25" ht="15" customHeight="1" x14ac:dyDescent="0.3">
      <c r="A51" s="84" t="s">
        <v>29</v>
      </c>
      <c r="B51" s="88"/>
      <c r="C51" s="98"/>
      <c r="D51" s="88"/>
      <c r="E51" s="98"/>
      <c r="F51" s="88"/>
      <c r="G51" s="98"/>
      <c r="H51" s="88"/>
      <c r="I51" s="98"/>
      <c r="J51" s="88"/>
      <c r="K51" s="98"/>
      <c r="L51" s="88"/>
      <c r="M51" s="89"/>
      <c r="N51"/>
      <c r="O51"/>
      <c r="P51"/>
      <c r="Q51"/>
      <c r="R51"/>
      <c r="S51"/>
      <c r="T51"/>
      <c r="U51"/>
      <c r="V51"/>
      <c r="W51"/>
      <c r="X51"/>
      <c r="Y51"/>
    </row>
    <row r="52" spans="1:25" ht="15" customHeight="1" x14ac:dyDescent="0.3">
      <c r="A52" s="90" t="s">
        <v>9</v>
      </c>
      <c r="B52" s="88">
        <v>3061.5</v>
      </c>
      <c r="C52" s="98">
        <v>0.958066030355187</v>
      </c>
      <c r="D52" s="88">
        <v>6</v>
      </c>
      <c r="E52" s="98">
        <v>1.8776404318572994E-3</v>
      </c>
      <c r="F52" s="88">
        <v>40</v>
      </c>
      <c r="G52" s="98">
        <v>1.2517602879048663E-2</v>
      </c>
      <c r="H52" s="88">
        <v>88</v>
      </c>
      <c r="I52" s="98">
        <v>2.7538726333907058E-2</v>
      </c>
      <c r="J52" s="88"/>
      <c r="K52" s="98">
        <v>0</v>
      </c>
      <c r="L52" s="102">
        <v>3195.5</v>
      </c>
      <c r="M52" s="89">
        <v>1</v>
      </c>
      <c r="N52"/>
      <c r="O52"/>
      <c r="P52"/>
      <c r="Q52"/>
      <c r="R52"/>
      <c r="S52"/>
      <c r="T52"/>
      <c r="U52"/>
      <c r="V52"/>
      <c r="W52"/>
      <c r="X52"/>
      <c r="Y52"/>
    </row>
    <row r="53" spans="1:25" ht="15" customHeight="1" x14ac:dyDescent="0.3">
      <c r="A53" s="84" t="s">
        <v>30</v>
      </c>
      <c r="B53" s="88">
        <v>3061.5</v>
      </c>
      <c r="C53" s="98">
        <v>0.958066030355187</v>
      </c>
      <c r="D53" s="88">
        <v>6</v>
      </c>
      <c r="E53" s="98">
        <v>1.8776404318572994E-3</v>
      </c>
      <c r="F53" s="88">
        <v>40</v>
      </c>
      <c r="G53" s="98">
        <v>1.2517602879048663E-2</v>
      </c>
      <c r="H53" s="88">
        <v>88</v>
      </c>
      <c r="I53" s="98">
        <v>2.7538726333907058E-2</v>
      </c>
      <c r="J53" s="88"/>
      <c r="K53" s="98">
        <v>0</v>
      </c>
      <c r="L53" s="102">
        <v>3195.5</v>
      </c>
      <c r="M53" s="89">
        <v>1</v>
      </c>
      <c r="N53"/>
      <c r="O53"/>
      <c r="P53"/>
      <c r="Q53"/>
      <c r="R53"/>
      <c r="S53"/>
      <c r="T53"/>
      <c r="U53"/>
      <c r="V53"/>
      <c r="W53"/>
      <c r="X53"/>
      <c r="Y53"/>
    </row>
    <row r="54" spans="1:25" ht="15" customHeight="1" x14ac:dyDescent="0.3">
      <c r="A54" s="84"/>
      <c r="B54" s="88"/>
      <c r="C54" s="98"/>
      <c r="D54" s="88"/>
      <c r="E54" s="98"/>
      <c r="F54" s="88"/>
      <c r="G54" s="98"/>
      <c r="H54" s="88"/>
      <c r="I54" s="98"/>
      <c r="J54" s="88"/>
      <c r="K54" s="98"/>
      <c r="L54" s="88"/>
      <c r="M54" s="89"/>
      <c r="N54"/>
      <c r="O54"/>
      <c r="P54"/>
      <c r="Q54"/>
      <c r="R54"/>
      <c r="S54"/>
      <c r="T54"/>
      <c r="U54"/>
      <c r="V54"/>
      <c r="W54"/>
      <c r="X54"/>
      <c r="Y54"/>
    </row>
    <row r="55" spans="1:25" ht="15" customHeight="1" x14ac:dyDescent="0.3">
      <c r="A55" s="84" t="s">
        <v>31</v>
      </c>
      <c r="B55" s="88"/>
      <c r="C55" s="98"/>
      <c r="D55" s="88"/>
      <c r="E55" s="98"/>
      <c r="F55" s="88"/>
      <c r="G55" s="98"/>
      <c r="H55" s="88"/>
      <c r="I55" s="98"/>
      <c r="J55" s="88"/>
      <c r="K55" s="98"/>
      <c r="L55" s="88"/>
      <c r="M55" s="89"/>
      <c r="N55"/>
      <c r="O55"/>
      <c r="P55"/>
      <c r="Q55"/>
      <c r="R55"/>
      <c r="S55"/>
      <c r="T55"/>
      <c r="U55"/>
      <c r="V55"/>
      <c r="W55"/>
      <c r="X55"/>
      <c r="Y55"/>
    </row>
    <row r="56" spans="1:25" ht="15" customHeight="1" x14ac:dyDescent="0.3">
      <c r="A56" s="90" t="s">
        <v>9</v>
      </c>
      <c r="B56" s="88">
        <v>3985</v>
      </c>
      <c r="C56" s="98">
        <v>0.89409916984518734</v>
      </c>
      <c r="D56" s="88">
        <v>80</v>
      </c>
      <c r="E56" s="98">
        <v>1.7949293246578416E-2</v>
      </c>
      <c r="F56" s="88">
        <v>192</v>
      </c>
      <c r="G56" s="98">
        <v>4.3078303791788196E-2</v>
      </c>
      <c r="H56" s="88">
        <v>56</v>
      </c>
      <c r="I56" s="98">
        <v>1.2564505272604892E-2</v>
      </c>
      <c r="J56" s="88">
        <v>144</v>
      </c>
      <c r="K56" s="98">
        <v>3.2308727843841152E-2</v>
      </c>
      <c r="L56" s="102">
        <v>4457</v>
      </c>
      <c r="M56" s="89">
        <v>1</v>
      </c>
      <c r="N56"/>
      <c r="O56"/>
      <c r="P56"/>
      <c r="Q56"/>
      <c r="R56"/>
      <c r="S56"/>
      <c r="T56"/>
      <c r="U56"/>
      <c r="V56"/>
      <c r="W56"/>
      <c r="X56"/>
      <c r="Y56"/>
    </row>
    <row r="57" spans="1:25" ht="15" customHeight="1" x14ac:dyDescent="0.3">
      <c r="A57" s="84" t="s">
        <v>32</v>
      </c>
      <c r="B57" s="88">
        <v>3985</v>
      </c>
      <c r="C57" s="98">
        <v>0.89409916984518734</v>
      </c>
      <c r="D57" s="88">
        <v>80</v>
      </c>
      <c r="E57" s="98">
        <v>1.7949293246578416E-2</v>
      </c>
      <c r="F57" s="88">
        <v>192</v>
      </c>
      <c r="G57" s="98">
        <v>4.3078303791788196E-2</v>
      </c>
      <c r="H57" s="88">
        <v>56</v>
      </c>
      <c r="I57" s="98">
        <v>1.2564505272604892E-2</v>
      </c>
      <c r="J57" s="88">
        <v>144</v>
      </c>
      <c r="K57" s="98">
        <v>3.2308727843841152E-2</v>
      </c>
      <c r="L57" s="102">
        <v>4457</v>
      </c>
      <c r="M57" s="89">
        <v>1</v>
      </c>
      <c r="N57"/>
      <c r="O57"/>
      <c r="P57"/>
      <c r="Q57"/>
      <c r="R57"/>
      <c r="S57"/>
      <c r="T57"/>
      <c r="U57"/>
      <c r="V57"/>
      <c r="W57"/>
      <c r="X57"/>
      <c r="Y57"/>
    </row>
    <row r="58" spans="1:25" ht="15" customHeight="1" x14ac:dyDescent="0.3">
      <c r="A58" s="84"/>
      <c r="B58" s="88"/>
      <c r="C58" s="98"/>
      <c r="D58" s="88"/>
      <c r="E58" s="98"/>
      <c r="F58" s="88"/>
      <c r="G58" s="98"/>
      <c r="H58" s="88"/>
      <c r="I58" s="98"/>
      <c r="J58" s="88"/>
      <c r="K58" s="98"/>
      <c r="L58" s="88"/>
      <c r="M58" s="89"/>
      <c r="N58"/>
      <c r="O58"/>
      <c r="P58"/>
      <c r="Q58"/>
      <c r="R58"/>
      <c r="S58"/>
      <c r="T58"/>
      <c r="U58"/>
      <c r="V58"/>
      <c r="W58"/>
      <c r="X58"/>
      <c r="Y58"/>
    </row>
    <row r="59" spans="1:25" ht="15" customHeight="1" x14ac:dyDescent="0.3">
      <c r="A59" s="84" t="s">
        <v>33</v>
      </c>
      <c r="B59" s="88"/>
      <c r="C59" s="98"/>
      <c r="D59" s="88"/>
      <c r="E59" s="98"/>
      <c r="F59" s="88"/>
      <c r="G59" s="98"/>
      <c r="H59" s="88"/>
      <c r="I59" s="98"/>
      <c r="J59" s="88"/>
      <c r="K59" s="98"/>
      <c r="L59" s="88"/>
      <c r="M59" s="89"/>
      <c r="N59"/>
      <c r="O59"/>
      <c r="P59"/>
      <c r="Q59"/>
      <c r="R59"/>
      <c r="S59"/>
      <c r="T59"/>
      <c r="U59"/>
      <c r="V59"/>
      <c r="W59"/>
      <c r="X59"/>
      <c r="Y59"/>
    </row>
    <row r="60" spans="1:25" ht="15" customHeight="1" x14ac:dyDescent="0.3">
      <c r="A60" s="90" t="s">
        <v>9</v>
      </c>
      <c r="B60" s="88">
        <v>3097.5</v>
      </c>
      <c r="C60" s="98">
        <v>0.83863544063896034</v>
      </c>
      <c r="D60" s="88">
        <v>202</v>
      </c>
      <c r="E60" s="98">
        <v>5.4690672803573849E-2</v>
      </c>
      <c r="F60" s="88">
        <v>148</v>
      </c>
      <c r="G60" s="98">
        <v>4.0070393935291729E-2</v>
      </c>
      <c r="H60" s="88">
        <v>62</v>
      </c>
      <c r="I60" s="98">
        <v>1.6786246108027616E-2</v>
      </c>
      <c r="J60" s="88">
        <v>184</v>
      </c>
      <c r="K60" s="98">
        <v>4.9817246514146471E-2</v>
      </c>
      <c r="L60" s="102">
        <v>3693.5</v>
      </c>
      <c r="M60" s="89">
        <v>1</v>
      </c>
      <c r="N60"/>
      <c r="O60"/>
      <c r="P60"/>
      <c r="Q60"/>
      <c r="R60"/>
      <c r="S60"/>
      <c r="T60"/>
      <c r="U60"/>
      <c r="V60"/>
      <c r="W60"/>
      <c r="X60"/>
      <c r="Y60"/>
    </row>
    <row r="61" spans="1:25" ht="15" customHeight="1" x14ac:dyDescent="0.3">
      <c r="A61" s="84" t="s">
        <v>34</v>
      </c>
      <c r="B61" s="88">
        <v>3097.5</v>
      </c>
      <c r="C61" s="98">
        <v>0.83863544063896034</v>
      </c>
      <c r="D61" s="88">
        <v>202</v>
      </c>
      <c r="E61" s="98">
        <v>5.4690672803573849E-2</v>
      </c>
      <c r="F61" s="88">
        <v>148</v>
      </c>
      <c r="G61" s="98">
        <v>4.0070393935291729E-2</v>
      </c>
      <c r="H61" s="88">
        <v>62</v>
      </c>
      <c r="I61" s="98">
        <v>1.6786246108027616E-2</v>
      </c>
      <c r="J61" s="88">
        <v>184</v>
      </c>
      <c r="K61" s="98">
        <v>4.9817246514146471E-2</v>
      </c>
      <c r="L61" s="102">
        <v>3693.5</v>
      </c>
      <c r="M61" s="89">
        <v>1</v>
      </c>
      <c r="N61"/>
      <c r="O61"/>
      <c r="P61"/>
      <c r="Q61"/>
      <c r="R61"/>
      <c r="S61"/>
      <c r="T61"/>
      <c r="U61"/>
      <c r="V61"/>
      <c r="W61"/>
      <c r="X61"/>
      <c r="Y61"/>
    </row>
    <row r="62" spans="1:25" ht="15" customHeight="1" x14ac:dyDescent="0.3">
      <c r="A62" s="84"/>
      <c r="B62" s="88"/>
      <c r="C62" s="98"/>
      <c r="D62" s="88"/>
      <c r="E62" s="98"/>
      <c r="F62" s="88"/>
      <c r="G62" s="98"/>
      <c r="H62" s="88"/>
      <c r="I62" s="98"/>
      <c r="J62" s="88"/>
      <c r="K62" s="98"/>
      <c r="L62" s="88"/>
      <c r="M62" s="89"/>
      <c r="N62"/>
      <c r="O62"/>
      <c r="P62"/>
      <c r="Q62"/>
      <c r="R62"/>
      <c r="S62"/>
      <c r="T62"/>
      <c r="U62"/>
      <c r="V62"/>
      <c r="W62"/>
      <c r="X62"/>
      <c r="Y62"/>
    </row>
    <row r="63" spans="1:25" ht="15" customHeight="1" x14ac:dyDescent="0.3">
      <c r="A63" s="84" t="s">
        <v>35</v>
      </c>
      <c r="B63" s="88"/>
      <c r="C63" s="98"/>
      <c r="D63" s="88"/>
      <c r="E63" s="98"/>
      <c r="F63" s="88"/>
      <c r="G63" s="98"/>
      <c r="H63" s="88"/>
      <c r="I63" s="98"/>
      <c r="J63" s="88"/>
      <c r="K63" s="98"/>
      <c r="L63" s="88"/>
      <c r="M63" s="89"/>
      <c r="N63"/>
      <c r="O63"/>
      <c r="P63"/>
      <c r="Q63"/>
      <c r="R63"/>
      <c r="S63"/>
      <c r="T63"/>
      <c r="U63"/>
      <c r="V63"/>
      <c r="W63"/>
      <c r="X63"/>
      <c r="Y63"/>
    </row>
    <row r="64" spans="1:25" ht="15" customHeight="1" x14ac:dyDescent="0.3">
      <c r="A64" s="90" t="s">
        <v>9</v>
      </c>
      <c r="B64" s="88">
        <v>3512.5</v>
      </c>
      <c r="C64" s="98">
        <v>0.92349152096752996</v>
      </c>
      <c r="D64" s="88">
        <v>35</v>
      </c>
      <c r="E64" s="98">
        <v>9.2020507427369534E-3</v>
      </c>
      <c r="F64" s="88">
        <v>148</v>
      </c>
      <c r="G64" s="98">
        <v>3.8911528855001973E-2</v>
      </c>
      <c r="H64" s="88">
        <v>52</v>
      </c>
      <c r="I64" s="98">
        <v>1.3671618246352045E-2</v>
      </c>
      <c r="J64" s="88">
        <v>56</v>
      </c>
      <c r="K64" s="98">
        <v>1.4723281188379124E-2</v>
      </c>
      <c r="L64" s="102">
        <v>3803.5</v>
      </c>
      <c r="M64" s="89">
        <v>1</v>
      </c>
      <c r="N64"/>
      <c r="O64"/>
      <c r="P64"/>
      <c r="Q64"/>
      <c r="R64"/>
      <c r="S64"/>
      <c r="T64"/>
      <c r="U64"/>
      <c r="V64"/>
      <c r="W64"/>
      <c r="X64"/>
      <c r="Y64"/>
    </row>
    <row r="65" spans="1:25" ht="15" customHeight="1" x14ac:dyDescent="0.3">
      <c r="A65" s="90" t="s">
        <v>10</v>
      </c>
      <c r="B65" s="88">
        <v>34</v>
      </c>
      <c r="C65" s="98">
        <v>1</v>
      </c>
      <c r="D65" s="88"/>
      <c r="E65" s="98">
        <v>0</v>
      </c>
      <c r="F65" s="88"/>
      <c r="G65" s="98">
        <v>0</v>
      </c>
      <c r="H65" s="88"/>
      <c r="I65" s="98">
        <v>0</v>
      </c>
      <c r="J65" s="88"/>
      <c r="K65" s="98">
        <v>0</v>
      </c>
      <c r="L65" s="102">
        <v>34</v>
      </c>
      <c r="M65" s="89">
        <v>1</v>
      </c>
      <c r="N65"/>
      <c r="O65"/>
      <c r="P65"/>
      <c r="Q65"/>
      <c r="R65"/>
      <c r="S65"/>
      <c r="T65"/>
      <c r="U65"/>
      <c r="V65"/>
      <c r="W65"/>
      <c r="X65"/>
      <c r="Y65"/>
    </row>
    <row r="66" spans="1:25" ht="15" customHeight="1" x14ac:dyDescent="0.3">
      <c r="A66" s="84" t="s">
        <v>36</v>
      </c>
      <c r="B66" s="88">
        <v>3546.5</v>
      </c>
      <c r="C66" s="98">
        <v>0.92416938110749181</v>
      </c>
      <c r="D66" s="88">
        <v>35</v>
      </c>
      <c r="E66" s="98">
        <v>9.120521172638436E-3</v>
      </c>
      <c r="F66" s="88">
        <v>148</v>
      </c>
      <c r="G66" s="98">
        <v>3.8566775244299675E-2</v>
      </c>
      <c r="H66" s="88">
        <v>52</v>
      </c>
      <c r="I66" s="98">
        <v>1.3550488599348534E-2</v>
      </c>
      <c r="J66" s="88">
        <v>56</v>
      </c>
      <c r="K66" s="98">
        <v>1.4592833876221498E-2</v>
      </c>
      <c r="L66" s="102">
        <v>3837.5</v>
      </c>
      <c r="M66" s="89">
        <v>1</v>
      </c>
      <c r="N66"/>
      <c r="O66"/>
      <c r="P66"/>
      <c r="Q66"/>
      <c r="R66"/>
      <c r="S66"/>
      <c r="T66"/>
      <c r="U66"/>
      <c r="V66"/>
      <c r="W66"/>
      <c r="X66"/>
      <c r="Y66"/>
    </row>
    <row r="67" spans="1:25" ht="15" customHeight="1" x14ac:dyDescent="0.3">
      <c r="A67" s="84"/>
      <c r="B67" s="88"/>
      <c r="C67" s="98"/>
      <c r="D67" s="88"/>
      <c r="E67" s="98"/>
      <c r="F67" s="88"/>
      <c r="G67" s="98"/>
      <c r="H67" s="88"/>
      <c r="I67" s="98"/>
      <c r="J67" s="88"/>
      <c r="K67" s="98"/>
      <c r="L67" s="88"/>
      <c r="M67" s="89"/>
      <c r="N67"/>
      <c r="O67"/>
      <c r="P67"/>
      <c r="Q67"/>
      <c r="R67"/>
      <c r="S67"/>
      <c r="T67"/>
      <c r="U67"/>
      <c r="V67"/>
      <c r="W67"/>
      <c r="X67"/>
      <c r="Y67"/>
    </row>
    <row r="68" spans="1:25" ht="15" customHeight="1" x14ac:dyDescent="0.3">
      <c r="A68" s="84" t="s">
        <v>37</v>
      </c>
      <c r="B68" s="88"/>
      <c r="C68" s="98"/>
      <c r="D68" s="88"/>
      <c r="E68" s="98"/>
      <c r="F68" s="88"/>
      <c r="G68" s="98"/>
      <c r="H68" s="88"/>
      <c r="I68" s="98"/>
      <c r="J68" s="88"/>
      <c r="K68" s="98"/>
      <c r="L68" s="88"/>
      <c r="M68" s="89"/>
      <c r="N68"/>
      <c r="O68"/>
      <c r="P68"/>
      <c r="Q68"/>
      <c r="R68"/>
      <c r="S68"/>
      <c r="T68"/>
      <c r="U68"/>
      <c r="V68"/>
      <c r="W68"/>
      <c r="X68"/>
      <c r="Y68"/>
    </row>
    <row r="69" spans="1:25" ht="15" customHeight="1" x14ac:dyDescent="0.3">
      <c r="A69" s="90" t="s">
        <v>9</v>
      </c>
      <c r="B69" s="88">
        <v>5468</v>
      </c>
      <c r="C69" s="98">
        <v>0.91407556001337342</v>
      </c>
      <c r="D69" s="88">
        <v>170</v>
      </c>
      <c r="E69" s="98">
        <v>2.8418589100635241E-2</v>
      </c>
      <c r="F69" s="88"/>
      <c r="G69" s="98">
        <v>0</v>
      </c>
      <c r="H69" s="88">
        <v>186</v>
      </c>
      <c r="I69" s="98">
        <v>3.1093279839518557E-2</v>
      </c>
      <c r="J69" s="88">
        <v>158</v>
      </c>
      <c r="K69" s="98">
        <v>2.6412571046472752E-2</v>
      </c>
      <c r="L69" s="102">
        <v>5982</v>
      </c>
      <c r="M69" s="89">
        <v>1</v>
      </c>
      <c r="N69"/>
      <c r="O69"/>
      <c r="P69"/>
      <c r="Q69"/>
      <c r="R69"/>
      <c r="S69"/>
      <c r="T69"/>
      <c r="U69"/>
      <c r="V69"/>
      <c r="W69"/>
      <c r="X69"/>
      <c r="Y69"/>
    </row>
    <row r="70" spans="1:25" ht="15" customHeight="1" x14ac:dyDescent="0.3">
      <c r="A70" s="84" t="s">
        <v>38</v>
      </c>
      <c r="B70" s="88">
        <v>5468</v>
      </c>
      <c r="C70" s="98">
        <v>0.91407556001337342</v>
      </c>
      <c r="D70" s="88">
        <v>170</v>
      </c>
      <c r="E70" s="98">
        <v>2.8418589100635241E-2</v>
      </c>
      <c r="F70" s="88"/>
      <c r="G70" s="98">
        <v>0</v>
      </c>
      <c r="H70" s="88">
        <v>186</v>
      </c>
      <c r="I70" s="98">
        <v>3.1093279839518557E-2</v>
      </c>
      <c r="J70" s="88">
        <v>158</v>
      </c>
      <c r="K70" s="98">
        <v>2.6412571046472752E-2</v>
      </c>
      <c r="L70" s="102">
        <v>5982</v>
      </c>
      <c r="M70" s="89">
        <v>1</v>
      </c>
      <c r="N70"/>
      <c r="O70"/>
      <c r="P70"/>
      <c r="Q70"/>
      <c r="R70"/>
      <c r="S70"/>
      <c r="T70"/>
      <c r="U70"/>
      <c r="V70"/>
      <c r="W70"/>
      <c r="X70"/>
      <c r="Y70"/>
    </row>
    <row r="71" spans="1:25" ht="15" customHeight="1" x14ac:dyDescent="0.3">
      <c r="A71" s="84"/>
      <c r="B71" s="88"/>
      <c r="C71" s="98"/>
      <c r="D71" s="88"/>
      <c r="E71" s="98"/>
      <c r="F71" s="88"/>
      <c r="G71" s="98"/>
      <c r="H71" s="88"/>
      <c r="I71" s="98"/>
      <c r="J71" s="88"/>
      <c r="K71" s="98"/>
      <c r="L71" s="88"/>
      <c r="M71" s="89"/>
      <c r="N71"/>
      <c r="O71"/>
      <c r="P71"/>
      <c r="Q71"/>
      <c r="R71"/>
      <c r="S71"/>
      <c r="T71"/>
      <c r="U71"/>
      <c r="V71"/>
      <c r="W71"/>
      <c r="X71"/>
      <c r="Y71"/>
    </row>
    <row r="72" spans="1:25" ht="15" customHeight="1" x14ac:dyDescent="0.3">
      <c r="A72" s="84" t="s">
        <v>14</v>
      </c>
      <c r="B72" s="88"/>
      <c r="C72" s="98"/>
      <c r="D72" s="88"/>
      <c r="E72" s="98"/>
      <c r="F72" s="88"/>
      <c r="G72" s="98"/>
      <c r="H72" s="88"/>
      <c r="I72" s="98"/>
      <c r="J72" s="88"/>
      <c r="K72" s="98"/>
      <c r="L72" s="88"/>
      <c r="M72" s="89"/>
      <c r="N72"/>
      <c r="O72"/>
      <c r="P72"/>
      <c r="Q72"/>
      <c r="R72"/>
      <c r="S72"/>
      <c r="T72"/>
      <c r="U72"/>
      <c r="V72"/>
      <c r="W72"/>
      <c r="X72"/>
      <c r="Y72"/>
    </row>
    <row r="73" spans="1:25" ht="15" customHeight="1" x14ac:dyDescent="0.3">
      <c r="A73" s="90" t="s">
        <v>9</v>
      </c>
      <c r="B73" s="88">
        <v>3463</v>
      </c>
      <c r="C73" s="98">
        <v>0.85316580438531653</v>
      </c>
      <c r="D73" s="88">
        <v>224</v>
      </c>
      <c r="E73" s="98">
        <v>5.5186006405518601E-2</v>
      </c>
      <c r="F73" s="88">
        <v>153.5</v>
      </c>
      <c r="G73" s="98">
        <v>3.7817196353781717E-2</v>
      </c>
      <c r="H73" s="88">
        <v>26.5</v>
      </c>
      <c r="I73" s="98">
        <v>6.5287016506528706E-3</v>
      </c>
      <c r="J73" s="88">
        <v>192</v>
      </c>
      <c r="K73" s="98">
        <v>4.7302291204730229E-2</v>
      </c>
      <c r="L73" s="102">
        <v>4059</v>
      </c>
      <c r="M73" s="89">
        <v>1</v>
      </c>
      <c r="N73"/>
      <c r="O73"/>
      <c r="P73"/>
      <c r="Q73"/>
      <c r="R73"/>
      <c r="S73"/>
      <c r="T73"/>
      <c r="U73"/>
      <c r="V73"/>
      <c r="W73"/>
      <c r="X73"/>
      <c r="Y73"/>
    </row>
    <row r="74" spans="1:25" ht="15" customHeight="1" x14ac:dyDescent="0.3">
      <c r="A74" s="90" t="s">
        <v>10</v>
      </c>
      <c r="B74" s="88">
        <v>0</v>
      </c>
      <c r="C74" s="98"/>
      <c r="D74" s="88"/>
      <c r="E74" s="98"/>
      <c r="F74" s="88">
        <v>0</v>
      </c>
      <c r="G74" s="98"/>
      <c r="H74" s="88"/>
      <c r="I74" s="98"/>
      <c r="J74" s="88"/>
      <c r="K74" s="98"/>
      <c r="L74" s="102">
        <v>0</v>
      </c>
      <c r="M74" s="89"/>
      <c r="N74"/>
      <c r="O74"/>
      <c r="P74"/>
      <c r="Q74"/>
      <c r="R74"/>
      <c r="S74"/>
      <c r="T74"/>
      <c r="U74"/>
      <c r="V74"/>
      <c r="W74"/>
      <c r="X74"/>
      <c r="Y74"/>
    </row>
    <row r="75" spans="1:25" ht="15" customHeight="1" x14ac:dyDescent="0.3">
      <c r="A75" s="84" t="s">
        <v>15</v>
      </c>
      <c r="B75" s="88">
        <v>3463</v>
      </c>
      <c r="C75" s="98">
        <v>0.85316580438531653</v>
      </c>
      <c r="D75" s="88">
        <v>224</v>
      </c>
      <c r="E75" s="98">
        <v>5.5186006405518601E-2</v>
      </c>
      <c r="F75" s="88">
        <v>153.5</v>
      </c>
      <c r="G75" s="98">
        <v>3.7817196353781717E-2</v>
      </c>
      <c r="H75" s="88">
        <v>26.5</v>
      </c>
      <c r="I75" s="98">
        <v>6.5287016506528706E-3</v>
      </c>
      <c r="J75" s="88">
        <v>192</v>
      </c>
      <c r="K75" s="98">
        <v>4.7302291204730229E-2</v>
      </c>
      <c r="L75" s="102">
        <v>4059</v>
      </c>
      <c r="M75" s="89">
        <v>1</v>
      </c>
      <c r="N75"/>
      <c r="O75"/>
      <c r="P75"/>
      <c r="Q75"/>
      <c r="R75"/>
      <c r="S75"/>
      <c r="T75"/>
      <c r="U75"/>
      <c r="V75"/>
      <c r="W75"/>
      <c r="X75"/>
      <c r="Y75"/>
    </row>
    <row r="76" spans="1:25" ht="15" customHeight="1" x14ac:dyDescent="0.3">
      <c r="A76" s="84"/>
      <c r="B76" s="88"/>
      <c r="C76" s="98"/>
      <c r="D76" s="88"/>
      <c r="E76" s="98"/>
      <c r="F76" s="88"/>
      <c r="G76" s="98"/>
      <c r="H76" s="88"/>
      <c r="I76" s="98"/>
      <c r="J76" s="88"/>
      <c r="K76" s="98"/>
      <c r="L76" s="88"/>
      <c r="M76" s="89"/>
      <c r="N76"/>
      <c r="O76"/>
      <c r="P76"/>
      <c r="Q76"/>
      <c r="R76"/>
      <c r="S76"/>
      <c r="T76"/>
      <c r="U76"/>
      <c r="V76"/>
      <c r="W76"/>
      <c r="X76"/>
      <c r="Y76"/>
    </row>
    <row r="77" spans="1:25" ht="15" customHeight="1" x14ac:dyDescent="0.3">
      <c r="A77" s="84" t="s">
        <v>16</v>
      </c>
      <c r="B77" s="88"/>
      <c r="C77" s="98"/>
      <c r="D77" s="88"/>
      <c r="E77" s="98"/>
      <c r="F77" s="88"/>
      <c r="G77" s="98"/>
      <c r="H77" s="88"/>
      <c r="I77" s="98"/>
      <c r="J77" s="88"/>
      <c r="K77" s="98"/>
      <c r="L77" s="88"/>
      <c r="M77" s="89"/>
      <c r="N77"/>
      <c r="O77"/>
      <c r="P77"/>
      <c r="Q77"/>
      <c r="R77"/>
      <c r="S77"/>
      <c r="T77"/>
      <c r="U77"/>
      <c r="V77"/>
      <c r="W77"/>
      <c r="X77"/>
      <c r="Y77"/>
    </row>
    <row r="78" spans="1:25" ht="15" customHeight="1" x14ac:dyDescent="0.3">
      <c r="A78" s="90" t="s">
        <v>9</v>
      </c>
      <c r="B78" s="88">
        <v>5282.5</v>
      </c>
      <c r="C78" s="98">
        <v>0.91614637530350329</v>
      </c>
      <c r="D78" s="88">
        <v>168</v>
      </c>
      <c r="E78" s="98">
        <v>2.9136316337148804E-2</v>
      </c>
      <c r="F78" s="88">
        <v>4</v>
      </c>
      <c r="G78" s="98">
        <v>6.9372181755116198E-4</v>
      </c>
      <c r="H78" s="88">
        <v>39.5</v>
      </c>
      <c r="I78" s="98">
        <v>6.8505029483177243E-3</v>
      </c>
      <c r="J78" s="88">
        <v>272</v>
      </c>
      <c r="K78" s="98">
        <v>4.7173083593479014E-2</v>
      </c>
      <c r="L78" s="102">
        <v>5766</v>
      </c>
      <c r="M78" s="89">
        <v>1</v>
      </c>
      <c r="N78"/>
      <c r="O78"/>
      <c r="P78"/>
      <c r="Q78"/>
      <c r="R78"/>
      <c r="S78"/>
      <c r="T78"/>
      <c r="U78"/>
      <c r="V78"/>
      <c r="W78"/>
      <c r="X78"/>
      <c r="Y78"/>
    </row>
    <row r="79" spans="1:25" ht="15" customHeight="1" x14ac:dyDescent="0.3">
      <c r="A79" s="90" t="s">
        <v>10</v>
      </c>
      <c r="B79" s="88">
        <v>40.5</v>
      </c>
      <c r="C79" s="98">
        <v>1</v>
      </c>
      <c r="D79" s="88"/>
      <c r="E79" s="98">
        <v>0</v>
      </c>
      <c r="F79" s="88"/>
      <c r="G79" s="98">
        <v>0</v>
      </c>
      <c r="H79" s="88"/>
      <c r="I79" s="98">
        <v>0</v>
      </c>
      <c r="J79" s="88"/>
      <c r="K79" s="98">
        <v>0</v>
      </c>
      <c r="L79" s="102">
        <v>40.5</v>
      </c>
      <c r="M79" s="89">
        <v>1</v>
      </c>
      <c r="N79"/>
      <c r="O79"/>
      <c r="P79"/>
      <c r="Q79"/>
      <c r="R79"/>
      <c r="S79"/>
      <c r="T79"/>
      <c r="U79"/>
      <c r="V79"/>
      <c r="W79"/>
      <c r="X79"/>
      <c r="Y79"/>
    </row>
    <row r="80" spans="1:25" ht="15" customHeight="1" x14ac:dyDescent="0.3">
      <c r="A80" s="84" t="s">
        <v>17</v>
      </c>
      <c r="B80" s="88">
        <v>5323</v>
      </c>
      <c r="C80" s="98">
        <v>0.91673124946181006</v>
      </c>
      <c r="D80" s="88">
        <v>168</v>
      </c>
      <c r="E80" s="98">
        <v>2.8933092224231464E-2</v>
      </c>
      <c r="F80" s="88">
        <v>4</v>
      </c>
      <c r="G80" s="98">
        <v>6.8888314819598722E-4</v>
      </c>
      <c r="H80" s="88">
        <v>39.5</v>
      </c>
      <c r="I80" s="98">
        <v>6.8027210884353739E-3</v>
      </c>
      <c r="J80" s="88">
        <v>272</v>
      </c>
      <c r="K80" s="98">
        <v>4.6844054077327134E-2</v>
      </c>
      <c r="L80" s="102">
        <v>5806.5</v>
      </c>
      <c r="M80" s="89">
        <v>1</v>
      </c>
      <c r="N80"/>
      <c r="O80"/>
      <c r="P80"/>
      <c r="Q80"/>
      <c r="R80"/>
      <c r="S80"/>
      <c r="T80"/>
      <c r="U80"/>
      <c r="V80"/>
      <c r="W80"/>
      <c r="X80"/>
      <c r="Y80"/>
    </row>
    <row r="81" spans="1:25" ht="15" customHeight="1" x14ac:dyDescent="0.3">
      <c r="A81" s="84"/>
      <c r="B81" s="88"/>
      <c r="C81" s="98"/>
      <c r="D81" s="88"/>
      <c r="E81" s="98"/>
      <c r="F81" s="88"/>
      <c r="G81" s="98"/>
      <c r="H81" s="88"/>
      <c r="I81" s="98"/>
      <c r="J81" s="88"/>
      <c r="K81" s="98"/>
      <c r="L81" s="88"/>
      <c r="M81" s="89"/>
      <c r="N81"/>
      <c r="O81"/>
      <c r="P81"/>
      <c r="Q81"/>
      <c r="R81"/>
      <c r="S81"/>
      <c r="T81"/>
      <c r="U81"/>
      <c r="V81"/>
      <c r="W81"/>
      <c r="X81"/>
      <c r="Y81"/>
    </row>
    <row r="82" spans="1:25" ht="15" customHeight="1" x14ac:dyDescent="0.3">
      <c r="A82" s="84" t="s">
        <v>18</v>
      </c>
      <c r="B82" s="88"/>
      <c r="C82" s="98"/>
      <c r="D82" s="88"/>
      <c r="E82" s="98"/>
      <c r="F82" s="88"/>
      <c r="G82" s="98"/>
      <c r="H82" s="88"/>
      <c r="I82" s="98"/>
      <c r="J82" s="88"/>
      <c r="K82" s="98"/>
      <c r="L82" s="88"/>
      <c r="M82" s="89"/>
      <c r="N82"/>
      <c r="O82"/>
      <c r="P82"/>
      <c r="Q82"/>
      <c r="R82"/>
      <c r="S82"/>
      <c r="T82"/>
      <c r="U82"/>
      <c r="V82"/>
      <c r="W82"/>
      <c r="X82"/>
      <c r="Y82"/>
    </row>
    <row r="83" spans="1:25" ht="15" customHeight="1" x14ac:dyDescent="0.3">
      <c r="A83" s="90" t="s">
        <v>9</v>
      </c>
      <c r="B83" s="88">
        <v>5358</v>
      </c>
      <c r="C83" s="98">
        <v>0.96723531004603303</v>
      </c>
      <c r="D83" s="88">
        <v>40</v>
      </c>
      <c r="E83" s="98">
        <v>7.220868309414207E-3</v>
      </c>
      <c r="F83" s="88"/>
      <c r="G83" s="98">
        <v>0</v>
      </c>
      <c r="H83" s="88">
        <v>16</v>
      </c>
      <c r="I83" s="98">
        <v>2.888347323765683E-3</v>
      </c>
      <c r="J83" s="88">
        <v>125.5</v>
      </c>
      <c r="K83" s="98">
        <v>2.2655474320787076E-2</v>
      </c>
      <c r="L83" s="102">
        <v>5539.5</v>
      </c>
      <c r="M83" s="89">
        <v>1</v>
      </c>
      <c r="N83"/>
      <c r="O83"/>
      <c r="P83"/>
      <c r="Q83"/>
      <c r="R83"/>
      <c r="S83"/>
      <c r="T83"/>
      <c r="U83"/>
      <c r="V83"/>
      <c r="W83"/>
      <c r="X83"/>
      <c r="Y83"/>
    </row>
    <row r="84" spans="1:25" ht="15" customHeight="1" x14ac:dyDescent="0.3">
      <c r="A84" s="90" t="s">
        <v>10</v>
      </c>
      <c r="B84" s="88">
        <v>39.5</v>
      </c>
      <c r="C84" s="98">
        <v>1</v>
      </c>
      <c r="D84" s="88"/>
      <c r="E84" s="98">
        <v>0</v>
      </c>
      <c r="F84" s="88"/>
      <c r="G84" s="98">
        <v>0</v>
      </c>
      <c r="H84" s="88"/>
      <c r="I84" s="98">
        <v>0</v>
      </c>
      <c r="J84" s="88"/>
      <c r="K84" s="98">
        <v>0</v>
      </c>
      <c r="L84" s="102">
        <v>39.5</v>
      </c>
      <c r="M84" s="89">
        <v>1</v>
      </c>
      <c r="N84"/>
      <c r="O84"/>
      <c r="P84"/>
      <c r="Q84"/>
      <c r="R84"/>
      <c r="S84"/>
      <c r="T84"/>
      <c r="U84"/>
      <c r="V84"/>
      <c r="W84"/>
      <c r="X84"/>
      <c r="Y84"/>
    </row>
    <row r="85" spans="1:25" ht="15" customHeight="1" x14ac:dyDescent="0.3">
      <c r="A85" s="84" t="s">
        <v>19</v>
      </c>
      <c r="B85" s="88">
        <v>5397.5</v>
      </c>
      <c r="C85" s="98">
        <v>0.96746728804445237</v>
      </c>
      <c r="D85" s="88">
        <v>40</v>
      </c>
      <c r="E85" s="98">
        <v>7.1697436816633804E-3</v>
      </c>
      <c r="F85" s="88"/>
      <c r="G85" s="98">
        <v>0</v>
      </c>
      <c r="H85" s="88">
        <v>16</v>
      </c>
      <c r="I85" s="98">
        <v>2.8678974726653521E-3</v>
      </c>
      <c r="J85" s="88">
        <v>125.5</v>
      </c>
      <c r="K85" s="98">
        <v>2.2495070801218858E-2</v>
      </c>
      <c r="L85" s="102">
        <v>5579</v>
      </c>
      <c r="M85" s="89">
        <v>1</v>
      </c>
      <c r="N85"/>
      <c r="O85"/>
      <c r="P85"/>
      <c r="Q85"/>
      <c r="R85"/>
      <c r="S85"/>
      <c r="T85"/>
      <c r="U85"/>
      <c r="V85"/>
      <c r="W85"/>
      <c r="X85"/>
      <c r="Y85"/>
    </row>
    <row r="86" spans="1:25" ht="15" customHeight="1" x14ac:dyDescent="0.3">
      <c r="A86" s="84"/>
      <c r="B86" s="88"/>
      <c r="C86" s="98"/>
      <c r="D86" s="88"/>
      <c r="E86" s="98"/>
      <c r="F86" s="88"/>
      <c r="G86" s="98"/>
      <c r="H86" s="88"/>
      <c r="I86" s="98"/>
      <c r="J86" s="88"/>
      <c r="K86" s="98"/>
      <c r="L86" s="88"/>
      <c r="M86" s="89"/>
      <c r="N86"/>
      <c r="O86"/>
      <c r="P86"/>
      <c r="Q86"/>
      <c r="R86"/>
      <c r="S86"/>
      <c r="T86"/>
      <c r="U86"/>
      <c r="V86"/>
      <c r="W86"/>
      <c r="X86"/>
      <c r="Y86"/>
    </row>
    <row r="87" spans="1:25" ht="15" customHeight="1" x14ac:dyDescent="0.3">
      <c r="A87" s="84" t="s">
        <v>20</v>
      </c>
      <c r="B87" s="88"/>
      <c r="C87" s="98"/>
      <c r="D87" s="88"/>
      <c r="E87" s="98"/>
      <c r="F87" s="88"/>
      <c r="G87" s="98"/>
      <c r="H87" s="88"/>
      <c r="I87" s="98"/>
      <c r="J87" s="88"/>
      <c r="K87" s="98"/>
      <c r="L87" s="88"/>
      <c r="M87" s="89"/>
      <c r="N87"/>
      <c r="O87"/>
      <c r="P87"/>
      <c r="Q87"/>
      <c r="R87"/>
      <c r="S87"/>
      <c r="T87"/>
      <c r="U87"/>
      <c r="V87"/>
      <c r="W87"/>
      <c r="X87"/>
      <c r="Y87"/>
    </row>
    <row r="88" spans="1:25" ht="15" customHeight="1" x14ac:dyDescent="0.3">
      <c r="A88" s="90" t="s">
        <v>9</v>
      </c>
      <c r="B88" s="88">
        <v>6437</v>
      </c>
      <c r="C88" s="98">
        <v>0.94948005015119108</v>
      </c>
      <c r="D88" s="88">
        <v>72</v>
      </c>
      <c r="E88" s="98">
        <v>1.0620252230990486E-2</v>
      </c>
      <c r="F88" s="88">
        <v>72.5</v>
      </c>
      <c r="G88" s="98">
        <v>1.0694003982594586E-2</v>
      </c>
      <c r="H88" s="88">
        <v>8</v>
      </c>
      <c r="I88" s="98">
        <v>1.1800280256656095E-3</v>
      </c>
      <c r="J88" s="88">
        <v>190</v>
      </c>
      <c r="K88" s="98">
        <v>2.8025665609558228E-2</v>
      </c>
      <c r="L88" s="102">
        <v>6779.5</v>
      </c>
      <c r="M88" s="89">
        <v>1</v>
      </c>
      <c r="N88"/>
      <c r="O88"/>
      <c r="P88"/>
      <c r="Q88"/>
      <c r="R88"/>
      <c r="S88"/>
      <c r="T88"/>
      <c r="U88"/>
      <c r="V88"/>
      <c r="W88"/>
      <c r="X88"/>
      <c r="Y88"/>
    </row>
    <row r="89" spans="1:25" ht="15" customHeight="1" x14ac:dyDescent="0.3">
      <c r="A89" s="90" t="s">
        <v>10</v>
      </c>
      <c r="B89" s="88">
        <v>0</v>
      </c>
      <c r="C89" s="98"/>
      <c r="D89" s="88"/>
      <c r="E89" s="98"/>
      <c r="F89" s="88"/>
      <c r="G89" s="98"/>
      <c r="H89" s="88"/>
      <c r="I89" s="98"/>
      <c r="J89" s="88"/>
      <c r="K89" s="98"/>
      <c r="L89" s="102">
        <v>0</v>
      </c>
      <c r="M89" s="89"/>
      <c r="N89"/>
      <c r="O89"/>
      <c r="P89"/>
      <c r="Q89"/>
      <c r="R89"/>
      <c r="S89"/>
      <c r="T89"/>
      <c r="U89"/>
      <c r="V89"/>
      <c r="W89"/>
      <c r="X89"/>
      <c r="Y89"/>
    </row>
    <row r="90" spans="1:25" ht="15" customHeight="1" x14ac:dyDescent="0.3">
      <c r="A90" s="84" t="s">
        <v>21</v>
      </c>
      <c r="B90" s="88">
        <v>6437</v>
      </c>
      <c r="C90" s="98">
        <v>0.94948005015119108</v>
      </c>
      <c r="D90" s="88">
        <v>72</v>
      </c>
      <c r="E90" s="98">
        <v>1.0620252230990486E-2</v>
      </c>
      <c r="F90" s="88">
        <v>72.5</v>
      </c>
      <c r="G90" s="98">
        <v>1.0694003982594586E-2</v>
      </c>
      <c r="H90" s="88">
        <v>8</v>
      </c>
      <c r="I90" s="98">
        <v>1.1800280256656095E-3</v>
      </c>
      <c r="J90" s="88">
        <v>190</v>
      </c>
      <c r="K90" s="98">
        <v>2.8025665609558228E-2</v>
      </c>
      <c r="L90" s="102">
        <v>6779.5</v>
      </c>
      <c r="M90" s="89">
        <v>1</v>
      </c>
      <c r="N90"/>
      <c r="O90"/>
      <c r="P90"/>
      <c r="Q90"/>
      <c r="R90"/>
      <c r="S90"/>
      <c r="T90"/>
      <c r="U90"/>
      <c r="V90"/>
      <c r="W90"/>
      <c r="X90"/>
      <c r="Y90"/>
    </row>
    <row r="91" spans="1:25" ht="15" customHeight="1" x14ac:dyDescent="0.3">
      <c r="A91" s="84"/>
      <c r="B91" s="88"/>
      <c r="C91" s="98"/>
      <c r="D91" s="88"/>
      <c r="E91" s="98"/>
      <c r="F91" s="88"/>
      <c r="G91" s="98"/>
      <c r="H91" s="88"/>
      <c r="I91" s="98"/>
      <c r="J91" s="88"/>
      <c r="K91" s="98"/>
      <c r="L91" s="88"/>
      <c r="M91" s="89"/>
      <c r="N91"/>
      <c r="O91"/>
      <c r="P91"/>
      <c r="Q91"/>
      <c r="R91"/>
      <c r="S91"/>
      <c r="T91"/>
      <c r="U91"/>
      <c r="V91"/>
      <c r="W91"/>
      <c r="X91"/>
      <c r="Y91"/>
    </row>
    <row r="92" spans="1:25" ht="15" customHeight="1" x14ac:dyDescent="0.3">
      <c r="A92" s="84" t="s">
        <v>22</v>
      </c>
      <c r="B92" s="88"/>
      <c r="C92" s="98"/>
      <c r="D92" s="88"/>
      <c r="E92" s="98"/>
      <c r="F92" s="88"/>
      <c r="G92" s="98"/>
      <c r="H92" s="88"/>
      <c r="I92" s="98"/>
      <c r="J92" s="88"/>
      <c r="K92" s="98"/>
      <c r="L92" s="88"/>
      <c r="M92" s="89"/>
      <c r="N92"/>
      <c r="O92"/>
      <c r="P92"/>
      <c r="Q92"/>
      <c r="R92"/>
      <c r="S92"/>
      <c r="T92"/>
      <c r="U92"/>
      <c r="V92"/>
      <c r="W92"/>
      <c r="X92"/>
      <c r="Y92"/>
    </row>
    <row r="93" spans="1:25" ht="15" customHeight="1" x14ac:dyDescent="0.3">
      <c r="A93" s="90" t="s">
        <v>9</v>
      </c>
      <c r="B93" s="102">
        <v>8639.1299999999992</v>
      </c>
      <c r="C93" s="98">
        <v>0.91495562971490541</v>
      </c>
      <c r="D93" s="88">
        <v>195</v>
      </c>
      <c r="E93" s="98">
        <v>2.0652119807712879E-2</v>
      </c>
      <c r="F93" s="88">
        <v>435</v>
      </c>
      <c r="G93" s="98">
        <v>4.6070113417205655E-2</v>
      </c>
      <c r="H93" s="88">
        <v>28</v>
      </c>
      <c r="I93" s="98">
        <v>2.9654325877741571E-3</v>
      </c>
      <c r="J93" s="88">
        <v>145</v>
      </c>
      <c r="K93" s="98">
        <v>1.5356704472401886E-2</v>
      </c>
      <c r="L93" s="102">
        <v>9442.1299999999992</v>
      </c>
      <c r="M93" s="89">
        <v>1</v>
      </c>
      <c r="N93"/>
      <c r="O93"/>
      <c r="P93"/>
      <c r="Q93"/>
      <c r="R93"/>
      <c r="S93"/>
      <c r="T93"/>
      <c r="U93"/>
      <c r="V93"/>
      <c r="W93"/>
      <c r="X93"/>
      <c r="Y93"/>
    </row>
    <row r="94" spans="1:25" ht="15" customHeight="1" x14ac:dyDescent="0.3">
      <c r="A94" s="90" t="s">
        <v>10</v>
      </c>
      <c r="B94" s="102">
        <v>136</v>
      </c>
      <c r="C94" s="98">
        <v>1</v>
      </c>
      <c r="D94" s="88">
        <v>0</v>
      </c>
      <c r="E94" s="98">
        <v>0</v>
      </c>
      <c r="F94" s="88"/>
      <c r="G94" s="98">
        <v>0</v>
      </c>
      <c r="H94" s="88"/>
      <c r="I94" s="98">
        <v>0</v>
      </c>
      <c r="J94" s="88"/>
      <c r="K94" s="98">
        <v>0</v>
      </c>
      <c r="L94" s="102">
        <v>136</v>
      </c>
      <c r="M94" s="89">
        <v>1</v>
      </c>
      <c r="N94"/>
      <c r="O94"/>
      <c r="P94"/>
      <c r="Q94"/>
      <c r="R94"/>
      <c r="S94"/>
      <c r="T94"/>
      <c r="U94"/>
      <c r="V94"/>
      <c r="W94"/>
      <c r="X94"/>
      <c r="Y94"/>
    </row>
    <row r="95" spans="1:25" ht="15" customHeight="1" x14ac:dyDescent="0.3">
      <c r="A95" s="84" t="s">
        <v>23</v>
      </c>
      <c r="B95" s="102">
        <v>8775.1299999999992</v>
      </c>
      <c r="C95" s="98">
        <v>0.91616317590176788</v>
      </c>
      <c r="D95" s="88">
        <v>195</v>
      </c>
      <c r="E95" s="98">
        <v>2.0358880073667825E-2</v>
      </c>
      <c r="F95" s="88">
        <v>435</v>
      </c>
      <c r="G95" s="98">
        <v>4.5415963241258996E-2</v>
      </c>
      <c r="H95" s="88">
        <v>28</v>
      </c>
      <c r="I95" s="98">
        <v>2.9233263695523032E-3</v>
      </c>
      <c r="J95" s="88">
        <v>145</v>
      </c>
      <c r="K95" s="98">
        <v>1.5138654413752999E-2</v>
      </c>
      <c r="L95" s="102">
        <v>9578.1299999999992</v>
      </c>
      <c r="M95" s="89">
        <v>1</v>
      </c>
      <c r="N95"/>
      <c r="O95"/>
      <c r="P95"/>
      <c r="Q95"/>
      <c r="R95"/>
      <c r="S95"/>
      <c r="T95"/>
      <c r="U95"/>
      <c r="V95"/>
      <c r="W95"/>
      <c r="X95"/>
      <c r="Y95"/>
    </row>
    <row r="96" spans="1:25" ht="15" customHeight="1" x14ac:dyDescent="0.3">
      <c r="A96" s="84"/>
      <c r="B96" s="88"/>
      <c r="C96" s="98"/>
      <c r="D96" s="88"/>
      <c r="E96" s="98"/>
      <c r="F96" s="88"/>
      <c r="G96" s="98"/>
      <c r="H96" s="88"/>
      <c r="I96" s="98"/>
      <c r="J96" s="88"/>
      <c r="K96" s="98"/>
      <c r="L96" s="88"/>
      <c r="M96" s="89"/>
      <c r="N96"/>
      <c r="O96"/>
      <c r="P96"/>
      <c r="Q96"/>
      <c r="R96"/>
      <c r="S96"/>
      <c r="T96"/>
      <c r="U96"/>
      <c r="V96"/>
      <c r="W96"/>
      <c r="X96"/>
      <c r="Y96"/>
    </row>
    <row r="97" spans="1:25" ht="15" customHeight="1" x14ac:dyDescent="0.3">
      <c r="A97" s="84" t="s">
        <v>24</v>
      </c>
      <c r="B97" s="88"/>
      <c r="C97" s="98"/>
      <c r="D97" s="88"/>
      <c r="E97" s="98"/>
      <c r="F97" s="88"/>
      <c r="G97" s="98"/>
      <c r="H97" s="88"/>
      <c r="I97" s="98"/>
      <c r="J97" s="88"/>
      <c r="K97" s="98"/>
      <c r="L97" s="88"/>
      <c r="M97" s="89"/>
      <c r="N97"/>
      <c r="O97"/>
      <c r="P97"/>
      <c r="Q97"/>
      <c r="R97"/>
      <c r="S97"/>
      <c r="T97"/>
      <c r="U97"/>
      <c r="V97"/>
      <c r="W97"/>
      <c r="X97"/>
      <c r="Y97"/>
    </row>
    <row r="98" spans="1:25" ht="15" customHeight="1" x14ac:dyDescent="0.3">
      <c r="A98" s="90" t="s">
        <v>9</v>
      </c>
      <c r="B98" s="102">
        <v>7225.93</v>
      </c>
      <c r="C98" s="98">
        <v>0.91601624150813277</v>
      </c>
      <c r="D98" s="88">
        <v>192</v>
      </c>
      <c r="E98" s="98">
        <v>2.4339443970473211E-2</v>
      </c>
      <c r="F98" s="88">
        <v>324.5</v>
      </c>
      <c r="G98" s="98">
        <v>4.1136195668846652E-2</v>
      </c>
      <c r="H98" s="88">
        <v>16</v>
      </c>
      <c r="I98" s="98">
        <v>2.0282869975394341E-3</v>
      </c>
      <c r="J98" s="88">
        <v>130</v>
      </c>
      <c r="K98" s="98">
        <v>1.6479831855007905E-2</v>
      </c>
      <c r="L98" s="102">
        <v>7888.43</v>
      </c>
      <c r="M98" s="89">
        <v>1</v>
      </c>
      <c r="N98"/>
      <c r="O98"/>
      <c r="P98"/>
      <c r="Q98"/>
      <c r="R98"/>
      <c r="S98"/>
      <c r="T98"/>
      <c r="U98"/>
      <c r="V98"/>
      <c r="W98"/>
      <c r="X98"/>
      <c r="Y98"/>
    </row>
    <row r="99" spans="1:25" ht="15" customHeight="1" x14ac:dyDescent="0.3">
      <c r="A99" s="90" t="s">
        <v>10</v>
      </c>
      <c r="B99" s="102">
        <v>40</v>
      </c>
      <c r="C99" s="98">
        <v>0.20833333333333334</v>
      </c>
      <c r="D99" s="88">
        <v>0</v>
      </c>
      <c r="E99" s="98">
        <v>0</v>
      </c>
      <c r="F99" s="88">
        <v>152</v>
      </c>
      <c r="G99" s="98">
        <v>0.79166666666666663</v>
      </c>
      <c r="H99" s="88"/>
      <c r="I99" s="98">
        <v>0</v>
      </c>
      <c r="J99" s="88"/>
      <c r="K99" s="98">
        <v>0</v>
      </c>
      <c r="L99" s="102">
        <v>192</v>
      </c>
      <c r="M99" s="89">
        <v>1</v>
      </c>
      <c r="N99"/>
      <c r="O99"/>
      <c r="P99"/>
      <c r="Q99"/>
      <c r="R99"/>
      <c r="S99"/>
      <c r="T99"/>
      <c r="U99"/>
      <c r="V99"/>
      <c r="W99"/>
      <c r="X99"/>
      <c r="Y99"/>
    </row>
    <row r="100" spans="1:25" ht="15" customHeight="1" x14ac:dyDescent="0.3">
      <c r="A100" s="84" t="s">
        <v>25</v>
      </c>
      <c r="B100" s="102">
        <v>7265.93</v>
      </c>
      <c r="C100" s="98">
        <v>0.89920090886252346</v>
      </c>
      <c r="D100" s="88">
        <v>192</v>
      </c>
      <c r="E100" s="98">
        <v>2.376111172301474E-2</v>
      </c>
      <c r="F100" s="88">
        <v>476.5</v>
      </c>
      <c r="G100" s="98">
        <v>5.8969634041752726E-2</v>
      </c>
      <c r="H100" s="88">
        <v>16</v>
      </c>
      <c r="I100" s="98">
        <v>1.9800926435845616E-3</v>
      </c>
      <c r="J100" s="88">
        <v>130</v>
      </c>
      <c r="K100" s="98">
        <v>1.6088252729124564E-2</v>
      </c>
      <c r="L100" s="102">
        <v>8080.43</v>
      </c>
      <c r="M100" s="89">
        <v>1</v>
      </c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5" customHeight="1" x14ac:dyDescent="0.3">
      <c r="A101" s="84"/>
      <c r="B101" s="88"/>
      <c r="C101" s="98"/>
      <c r="D101" s="88"/>
      <c r="E101" s="98"/>
      <c r="F101" s="88"/>
      <c r="G101" s="98"/>
      <c r="H101" s="88"/>
      <c r="I101" s="98"/>
      <c r="J101" s="88"/>
      <c r="K101" s="98"/>
      <c r="L101" s="88"/>
      <c r="M101" s="89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5" customHeight="1" x14ac:dyDescent="0.3">
      <c r="A102" s="87" t="s">
        <v>114</v>
      </c>
      <c r="B102" s="88"/>
      <c r="C102" s="98"/>
      <c r="D102" s="88"/>
      <c r="E102" s="98"/>
      <c r="F102" s="88"/>
      <c r="G102" s="98"/>
      <c r="H102" s="88"/>
      <c r="I102" s="98"/>
      <c r="J102" s="88"/>
      <c r="K102" s="98"/>
      <c r="L102" s="88"/>
      <c r="M102" s="89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5" customHeight="1" x14ac:dyDescent="0.3">
      <c r="A103" s="84" t="s">
        <v>27</v>
      </c>
      <c r="B103" s="88"/>
      <c r="C103" s="98"/>
      <c r="D103" s="88"/>
      <c r="E103" s="98"/>
      <c r="F103" s="88"/>
      <c r="G103" s="98"/>
      <c r="H103" s="88"/>
      <c r="I103" s="98"/>
      <c r="J103" s="88"/>
      <c r="K103" s="98"/>
      <c r="L103" s="88"/>
      <c r="M103" s="89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5" customHeight="1" x14ac:dyDescent="0.3">
      <c r="A104" s="90" t="s">
        <v>9</v>
      </c>
      <c r="B104" s="102">
        <v>6415.96</v>
      </c>
      <c r="C104" s="98">
        <v>0.93904098962891847</v>
      </c>
      <c r="D104" s="88">
        <v>160</v>
      </c>
      <c r="E104" s="98">
        <v>2.3417627033308647E-2</v>
      </c>
      <c r="F104" s="88">
        <v>122.5</v>
      </c>
      <c r="G104" s="98">
        <v>1.7929120697376934E-2</v>
      </c>
      <c r="H104" s="88">
        <v>78</v>
      </c>
      <c r="I104" s="98">
        <v>1.1416093178737966E-2</v>
      </c>
      <c r="J104" s="88">
        <v>56</v>
      </c>
      <c r="K104" s="98">
        <v>8.1961694616580257E-3</v>
      </c>
      <c r="L104" s="102">
        <v>6832.46</v>
      </c>
      <c r="M104" s="89">
        <v>1</v>
      </c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5" customHeight="1" x14ac:dyDescent="0.3">
      <c r="A105" s="90" t="s">
        <v>10</v>
      </c>
      <c r="B105" s="102">
        <v>16</v>
      </c>
      <c r="C105" s="98">
        <v>7.6923076923076927E-2</v>
      </c>
      <c r="D105" s="88"/>
      <c r="E105" s="98">
        <v>0</v>
      </c>
      <c r="F105" s="88">
        <v>192</v>
      </c>
      <c r="G105" s="98">
        <v>0.92307692307692313</v>
      </c>
      <c r="H105" s="88"/>
      <c r="I105" s="98">
        <v>0</v>
      </c>
      <c r="J105" s="88"/>
      <c r="K105" s="98">
        <v>0</v>
      </c>
      <c r="L105" s="102">
        <v>208</v>
      </c>
      <c r="M105" s="89">
        <v>1</v>
      </c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5" customHeight="1" x14ac:dyDescent="0.3">
      <c r="A106" s="84" t="s">
        <v>28</v>
      </c>
      <c r="B106" s="102">
        <v>6431.96</v>
      </c>
      <c r="C106" s="98">
        <v>0.91357098825928984</v>
      </c>
      <c r="D106" s="88">
        <v>160</v>
      </c>
      <c r="E106" s="98">
        <v>2.2725787803637831E-2</v>
      </c>
      <c r="F106" s="88">
        <v>314.5</v>
      </c>
      <c r="G106" s="98">
        <v>4.4670376651525609E-2</v>
      </c>
      <c r="H106" s="88">
        <v>78</v>
      </c>
      <c r="I106" s="98">
        <v>1.1078821554273442E-2</v>
      </c>
      <c r="J106" s="88">
        <v>56</v>
      </c>
      <c r="K106" s="98">
        <v>7.9540257312732399E-3</v>
      </c>
      <c r="L106" s="102">
        <v>7040.46</v>
      </c>
      <c r="M106" s="89">
        <v>1</v>
      </c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5" customHeight="1" x14ac:dyDescent="0.3">
      <c r="A107" s="84"/>
      <c r="B107" s="88"/>
      <c r="C107" s="98"/>
      <c r="D107" s="88"/>
      <c r="E107" s="98"/>
      <c r="F107" s="88"/>
      <c r="G107" s="98"/>
      <c r="H107" s="88"/>
      <c r="I107" s="98"/>
      <c r="J107" s="88"/>
      <c r="K107" s="98"/>
      <c r="L107" s="88"/>
      <c r="M107" s="89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5" customHeight="1" x14ac:dyDescent="0.3">
      <c r="A108" s="84" t="s">
        <v>29</v>
      </c>
      <c r="B108" s="88"/>
      <c r="C108" s="98"/>
      <c r="D108" s="88"/>
      <c r="E108" s="98"/>
      <c r="F108" s="88"/>
      <c r="G108" s="98"/>
      <c r="H108" s="88"/>
      <c r="I108" s="98"/>
      <c r="J108" s="88"/>
      <c r="K108" s="98"/>
      <c r="L108" s="88"/>
      <c r="M108" s="89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5" customHeight="1" x14ac:dyDescent="0.3">
      <c r="A109" s="90" t="s">
        <v>9</v>
      </c>
      <c r="B109" s="102">
        <v>7260.4299999999994</v>
      </c>
      <c r="C109" s="98">
        <v>0.94402497487299974</v>
      </c>
      <c r="D109" s="88">
        <v>10</v>
      </c>
      <c r="E109" s="98">
        <v>1.300232871707323E-3</v>
      </c>
      <c r="F109" s="88">
        <v>274.5</v>
      </c>
      <c r="G109" s="98">
        <v>3.569139232836601E-2</v>
      </c>
      <c r="H109" s="88"/>
      <c r="I109" s="98">
        <v>0</v>
      </c>
      <c r="J109" s="88">
        <v>146</v>
      </c>
      <c r="K109" s="98">
        <v>1.8983399926926915E-2</v>
      </c>
      <c r="L109" s="102">
        <v>7690.9299999999994</v>
      </c>
      <c r="M109" s="89">
        <v>1</v>
      </c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5" customHeight="1" x14ac:dyDescent="0.3">
      <c r="A110" s="90" t="s">
        <v>10</v>
      </c>
      <c r="B110" s="102">
        <v>46.08</v>
      </c>
      <c r="C110" s="98">
        <v>0.23263327948303716</v>
      </c>
      <c r="D110" s="88"/>
      <c r="E110" s="98">
        <v>0</v>
      </c>
      <c r="F110" s="88">
        <v>152</v>
      </c>
      <c r="G110" s="98">
        <v>0.76736672051696286</v>
      </c>
      <c r="H110" s="88"/>
      <c r="I110" s="98">
        <v>0</v>
      </c>
      <c r="J110" s="88"/>
      <c r="K110" s="98">
        <v>0</v>
      </c>
      <c r="L110" s="102">
        <v>198.07999999999998</v>
      </c>
      <c r="M110" s="89">
        <v>1</v>
      </c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5" customHeight="1" x14ac:dyDescent="0.3">
      <c r="A111" s="84" t="s">
        <v>30</v>
      </c>
      <c r="B111" s="102">
        <v>7306.5099999999993</v>
      </c>
      <c r="C111" s="98">
        <v>0.9261631053833117</v>
      </c>
      <c r="D111" s="88">
        <v>10</v>
      </c>
      <c r="E111" s="98">
        <v>1.2675861736770521E-3</v>
      </c>
      <c r="F111" s="88">
        <v>426.5</v>
      </c>
      <c r="G111" s="98">
        <v>5.4062550307326269E-2</v>
      </c>
      <c r="H111" s="88"/>
      <c r="I111" s="98">
        <v>0</v>
      </c>
      <c r="J111" s="88">
        <v>146</v>
      </c>
      <c r="K111" s="98">
        <v>1.8506758135684961E-2</v>
      </c>
      <c r="L111" s="102">
        <v>7889.0099999999993</v>
      </c>
      <c r="M111" s="89">
        <v>1</v>
      </c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5" customHeight="1" x14ac:dyDescent="0.3">
      <c r="A112" s="84"/>
      <c r="B112" s="88"/>
      <c r="C112" s="98"/>
      <c r="D112" s="88"/>
      <c r="E112" s="98"/>
      <c r="F112" s="88"/>
      <c r="G112" s="98"/>
      <c r="H112" s="88"/>
      <c r="I112" s="98"/>
      <c r="J112" s="88"/>
      <c r="K112" s="98"/>
      <c r="L112" s="88"/>
      <c r="M112" s="89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18" customHeight="1" x14ac:dyDescent="0.3">
      <c r="A113" s="84" t="s">
        <v>31</v>
      </c>
      <c r="B113" s="88"/>
      <c r="C113" s="98"/>
      <c r="D113" s="88"/>
      <c r="E113" s="98"/>
      <c r="F113" s="88"/>
      <c r="G113" s="98"/>
      <c r="H113" s="88"/>
      <c r="I113" s="98"/>
      <c r="J113" s="88"/>
      <c r="K113" s="98"/>
      <c r="L113" s="88"/>
      <c r="M113" s="89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18" customHeight="1" x14ac:dyDescent="0.3">
      <c r="A114" s="90" t="s">
        <v>9</v>
      </c>
      <c r="B114" s="102">
        <v>8238.58</v>
      </c>
      <c r="C114" s="98">
        <v>0.95975107408132265</v>
      </c>
      <c r="D114" s="88"/>
      <c r="E114" s="98">
        <v>0</v>
      </c>
      <c r="F114" s="88">
        <v>249.5</v>
      </c>
      <c r="G114" s="98">
        <v>2.9065432754587561E-2</v>
      </c>
      <c r="H114" s="88"/>
      <c r="I114" s="98">
        <v>0</v>
      </c>
      <c r="J114" s="88">
        <v>96</v>
      </c>
      <c r="K114" s="98">
        <v>1.1183493164089803E-2</v>
      </c>
      <c r="L114" s="102">
        <v>8584.08</v>
      </c>
      <c r="M114" s="89">
        <v>1</v>
      </c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18" customHeight="1" x14ac:dyDescent="0.3">
      <c r="A115" s="90" t="s">
        <v>10</v>
      </c>
      <c r="B115" s="102"/>
      <c r="C115" s="98">
        <v>0</v>
      </c>
      <c r="D115" s="88"/>
      <c r="E115" s="98">
        <v>0</v>
      </c>
      <c r="F115" s="88">
        <v>178</v>
      </c>
      <c r="G115" s="98">
        <v>1</v>
      </c>
      <c r="H115" s="88"/>
      <c r="I115" s="98">
        <v>0</v>
      </c>
      <c r="J115" s="88"/>
      <c r="K115" s="98">
        <v>0</v>
      </c>
      <c r="L115" s="102">
        <v>178</v>
      </c>
      <c r="M115" s="89">
        <v>1</v>
      </c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8" customHeight="1" x14ac:dyDescent="0.3">
      <c r="A116" s="84" t="s">
        <v>32</v>
      </c>
      <c r="B116" s="102">
        <v>8238.58</v>
      </c>
      <c r="C116" s="98">
        <v>0.9402539123130581</v>
      </c>
      <c r="D116" s="88"/>
      <c r="E116" s="98">
        <v>0</v>
      </c>
      <c r="F116" s="88">
        <v>427.5</v>
      </c>
      <c r="G116" s="98">
        <v>4.8789785073863744E-2</v>
      </c>
      <c r="H116" s="88"/>
      <c r="I116" s="98">
        <v>0</v>
      </c>
      <c r="J116" s="88">
        <v>96</v>
      </c>
      <c r="K116" s="98">
        <v>1.0956302613078173E-2</v>
      </c>
      <c r="L116" s="102">
        <v>8762.08</v>
      </c>
      <c r="M116" s="89">
        <v>1</v>
      </c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18" customHeight="1" x14ac:dyDescent="0.3">
      <c r="A117" s="84"/>
      <c r="B117" s="88"/>
      <c r="C117" s="98"/>
      <c r="D117" s="88"/>
      <c r="E117" s="98"/>
      <c r="F117" s="88"/>
      <c r="G117" s="98"/>
      <c r="H117" s="88"/>
      <c r="I117" s="98"/>
      <c r="J117" s="88"/>
      <c r="K117" s="98"/>
      <c r="L117" s="88"/>
      <c r="M117" s="89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18" customHeight="1" x14ac:dyDescent="0.3">
      <c r="A118" s="84" t="s">
        <v>33</v>
      </c>
      <c r="B118" s="88"/>
      <c r="C118" s="98"/>
      <c r="D118" s="88"/>
      <c r="E118" s="98"/>
      <c r="F118" s="88"/>
      <c r="G118" s="98"/>
      <c r="H118" s="88"/>
      <c r="I118" s="98"/>
      <c r="J118" s="88"/>
      <c r="K118" s="98"/>
      <c r="L118" s="88"/>
      <c r="M118" s="89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18" customHeight="1" x14ac:dyDescent="0.3">
      <c r="A119" s="90" t="s">
        <v>9</v>
      </c>
      <c r="B119" s="102">
        <v>8759</v>
      </c>
      <c r="C119" s="98">
        <v>0.93714224576044514</v>
      </c>
      <c r="D119" s="88">
        <v>8</v>
      </c>
      <c r="E119" s="98">
        <v>8.559353768790456E-4</v>
      </c>
      <c r="F119" s="88">
        <v>403.5</v>
      </c>
      <c r="G119" s="98">
        <v>4.3171240571336866E-2</v>
      </c>
      <c r="H119" s="88"/>
      <c r="I119" s="98">
        <v>0</v>
      </c>
      <c r="J119" s="88">
        <v>176</v>
      </c>
      <c r="K119" s="98">
        <v>1.8830578291339006E-2</v>
      </c>
      <c r="L119" s="102">
        <v>9346.5</v>
      </c>
      <c r="M119" s="89">
        <v>1</v>
      </c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8" customHeight="1" x14ac:dyDescent="0.3">
      <c r="A120" s="90" t="s">
        <v>10</v>
      </c>
      <c r="B120" s="102">
        <v>200</v>
      </c>
      <c r="C120" s="98">
        <v>0.52083333333333337</v>
      </c>
      <c r="D120" s="88"/>
      <c r="E120" s="98">
        <v>0</v>
      </c>
      <c r="F120" s="88">
        <v>184</v>
      </c>
      <c r="G120" s="98">
        <v>0.47916666666666669</v>
      </c>
      <c r="H120" s="88"/>
      <c r="I120" s="98">
        <v>0</v>
      </c>
      <c r="J120" s="88"/>
      <c r="K120" s="98">
        <v>0</v>
      </c>
      <c r="L120" s="102">
        <v>384</v>
      </c>
      <c r="M120" s="89">
        <v>1</v>
      </c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18" customHeight="1" x14ac:dyDescent="0.3">
      <c r="A121" s="84" t="s">
        <v>34</v>
      </c>
      <c r="B121" s="102">
        <v>8959</v>
      </c>
      <c r="C121" s="98">
        <v>0.92071322131442368</v>
      </c>
      <c r="D121" s="88">
        <v>8</v>
      </c>
      <c r="E121" s="98">
        <v>8.2215713478238524E-4</v>
      </c>
      <c r="F121" s="88">
        <v>587.5</v>
      </c>
      <c r="G121" s="98">
        <v>6.0377164585581421E-2</v>
      </c>
      <c r="H121" s="88"/>
      <c r="I121" s="98">
        <v>0</v>
      </c>
      <c r="J121" s="88">
        <v>176</v>
      </c>
      <c r="K121" s="98">
        <v>1.8087456965212478E-2</v>
      </c>
      <c r="L121" s="102">
        <v>9730.5</v>
      </c>
      <c r="M121" s="89">
        <v>1</v>
      </c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18" customHeight="1" x14ac:dyDescent="0.3">
      <c r="A122" s="84"/>
      <c r="B122" s="88"/>
      <c r="C122" s="98"/>
      <c r="D122" s="88"/>
      <c r="E122" s="98"/>
      <c r="F122" s="88"/>
      <c r="G122" s="98"/>
      <c r="H122" s="88"/>
      <c r="I122" s="98"/>
      <c r="J122" s="88"/>
      <c r="K122" s="98"/>
      <c r="L122" s="88"/>
      <c r="M122" s="89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18" customHeight="1" x14ac:dyDescent="0.25">
      <c r="A123" s="84" t="s">
        <v>35</v>
      </c>
      <c r="B123" s="88"/>
      <c r="C123" s="98"/>
      <c r="D123" s="88"/>
      <c r="E123" s="98"/>
      <c r="F123" s="88"/>
      <c r="G123" s="98"/>
      <c r="H123" s="88"/>
      <c r="I123" s="98"/>
      <c r="J123" s="88"/>
      <c r="K123" s="98"/>
      <c r="L123" s="88"/>
      <c r="M123" s="89"/>
    </row>
    <row r="124" spans="1:25" ht="18" customHeight="1" x14ac:dyDescent="0.25">
      <c r="A124" s="90" t="s">
        <v>9</v>
      </c>
      <c r="B124" s="102">
        <v>8666.06</v>
      </c>
      <c r="C124" s="98">
        <v>0.94904373499675854</v>
      </c>
      <c r="D124" s="88">
        <v>204</v>
      </c>
      <c r="E124" s="98">
        <v>2.234059329606981E-2</v>
      </c>
      <c r="F124" s="88">
        <v>99.5</v>
      </c>
      <c r="G124" s="98">
        <v>1.0896514867445814E-2</v>
      </c>
      <c r="H124" s="88">
        <v>51.3</v>
      </c>
      <c r="I124" s="98">
        <v>5.6180021376881434E-3</v>
      </c>
      <c r="J124" s="88">
        <v>110.5</v>
      </c>
      <c r="K124" s="98">
        <v>1.2101154702037814E-2</v>
      </c>
      <c r="L124" s="102">
        <v>9131.3599999999988</v>
      </c>
      <c r="M124" s="89">
        <v>1</v>
      </c>
    </row>
    <row r="125" spans="1:25" ht="18" customHeight="1" x14ac:dyDescent="0.25">
      <c r="A125" s="90" t="s">
        <v>10</v>
      </c>
      <c r="B125" s="102">
        <v>152</v>
      </c>
      <c r="C125" s="98">
        <v>0.5</v>
      </c>
      <c r="D125" s="88"/>
      <c r="E125" s="98">
        <v>0</v>
      </c>
      <c r="F125" s="88">
        <v>152</v>
      </c>
      <c r="G125" s="98">
        <v>0.5</v>
      </c>
      <c r="H125" s="88"/>
      <c r="I125" s="98">
        <v>0</v>
      </c>
      <c r="J125" s="88"/>
      <c r="K125" s="98">
        <v>0</v>
      </c>
      <c r="L125" s="102">
        <v>304</v>
      </c>
      <c r="M125" s="89">
        <v>1</v>
      </c>
    </row>
    <row r="126" spans="1:25" ht="18" customHeight="1" x14ac:dyDescent="0.25">
      <c r="A126" s="84" t="s">
        <v>36</v>
      </c>
      <c r="B126" s="102">
        <v>8818.06</v>
      </c>
      <c r="C126" s="98">
        <v>0.93457589323565826</v>
      </c>
      <c r="D126" s="88">
        <v>204</v>
      </c>
      <c r="E126" s="98">
        <v>2.1620796662766447E-2</v>
      </c>
      <c r="F126" s="88">
        <v>251.5</v>
      </c>
      <c r="G126" s="98">
        <v>2.6655050787675303E-2</v>
      </c>
      <c r="H126" s="88">
        <v>51.3</v>
      </c>
      <c r="I126" s="98">
        <v>5.4369944549015623E-3</v>
      </c>
      <c r="J126" s="88">
        <v>110.5</v>
      </c>
      <c r="K126" s="98">
        <v>1.1711264858998493E-2</v>
      </c>
      <c r="L126" s="102">
        <v>9435.3599999999988</v>
      </c>
      <c r="M126" s="89">
        <v>1</v>
      </c>
    </row>
    <row r="127" spans="1:25" ht="18" customHeight="1" x14ac:dyDescent="0.25">
      <c r="A127" s="84"/>
      <c r="B127" s="88"/>
      <c r="C127" s="98"/>
      <c r="D127" s="88"/>
      <c r="E127" s="98"/>
      <c r="F127" s="88"/>
      <c r="G127" s="98"/>
      <c r="H127" s="88"/>
      <c r="I127" s="98"/>
      <c r="J127" s="88"/>
      <c r="K127" s="98"/>
      <c r="L127" s="88"/>
      <c r="M127" s="89"/>
    </row>
    <row r="128" spans="1:25" ht="18" customHeight="1" x14ac:dyDescent="0.25">
      <c r="A128" s="84" t="s">
        <v>37</v>
      </c>
      <c r="B128" s="88"/>
      <c r="C128" s="98"/>
      <c r="D128" s="88"/>
      <c r="E128" s="98"/>
      <c r="F128" s="88"/>
      <c r="G128" s="98"/>
      <c r="H128" s="88"/>
      <c r="I128" s="98"/>
      <c r="J128" s="88"/>
      <c r="K128" s="98"/>
      <c r="L128" s="88"/>
      <c r="M128" s="89"/>
    </row>
    <row r="129" spans="1:13" ht="18" customHeight="1" x14ac:dyDescent="0.25">
      <c r="A129" s="90" t="s">
        <v>9</v>
      </c>
      <c r="B129" s="102">
        <v>7808.71</v>
      </c>
      <c r="C129" s="98">
        <v>0.97612413449987567</v>
      </c>
      <c r="D129" s="88">
        <v>4</v>
      </c>
      <c r="E129" s="98">
        <v>5.0001812565705504E-4</v>
      </c>
      <c r="F129" s="88">
        <v>95.5</v>
      </c>
      <c r="G129" s="98">
        <v>1.1937932750062189E-2</v>
      </c>
      <c r="H129" s="88">
        <v>64</v>
      </c>
      <c r="I129" s="98">
        <v>8.0002900105128807E-3</v>
      </c>
      <c r="J129" s="88">
        <v>27.5</v>
      </c>
      <c r="K129" s="98">
        <v>3.4376246138922537E-3</v>
      </c>
      <c r="L129" s="102">
        <v>7999.71</v>
      </c>
      <c r="M129" s="89">
        <v>1</v>
      </c>
    </row>
    <row r="130" spans="1:13" ht="18" customHeight="1" x14ac:dyDescent="0.25">
      <c r="A130" s="90" t="s">
        <v>10</v>
      </c>
      <c r="B130" s="102">
        <v>244</v>
      </c>
      <c r="C130" s="98">
        <v>0.60396039603960394</v>
      </c>
      <c r="D130" s="88"/>
      <c r="E130" s="98">
        <v>0</v>
      </c>
      <c r="F130" s="88">
        <v>160</v>
      </c>
      <c r="G130" s="98">
        <v>0.39603960396039606</v>
      </c>
      <c r="H130" s="88"/>
      <c r="I130" s="98">
        <v>0</v>
      </c>
      <c r="J130" s="88"/>
      <c r="K130" s="98">
        <v>0</v>
      </c>
      <c r="L130" s="102">
        <v>404</v>
      </c>
      <c r="M130" s="89">
        <v>1</v>
      </c>
    </row>
    <row r="131" spans="1:13" ht="18" customHeight="1" x14ac:dyDescent="0.25">
      <c r="A131" s="84" t="s">
        <v>38</v>
      </c>
      <c r="B131" s="102">
        <v>8052.71</v>
      </c>
      <c r="C131" s="98">
        <v>0.95823273292391109</v>
      </c>
      <c r="D131" s="88">
        <v>4</v>
      </c>
      <c r="E131" s="98">
        <v>4.7598025157936203E-4</v>
      </c>
      <c r="F131" s="88">
        <v>255.5</v>
      </c>
      <c r="G131" s="98">
        <v>3.0403238569631751E-2</v>
      </c>
      <c r="H131" s="88">
        <v>64</v>
      </c>
      <c r="I131" s="98">
        <v>7.6156840252697925E-3</v>
      </c>
      <c r="J131" s="88">
        <v>27.5</v>
      </c>
      <c r="K131" s="98">
        <v>3.272364229608114E-3</v>
      </c>
      <c r="L131" s="102">
        <v>8403.7099999999991</v>
      </c>
      <c r="M131" s="89">
        <v>1</v>
      </c>
    </row>
    <row r="132" spans="1:13" ht="18" customHeight="1" x14ac:dyDescent="0.25">
      <c r="A132" s="84"/>
      <c r="B132" s="88"/>
      <c r="C132" s="98"/>
      <c r="D132" s="88"/>
      <c r="E132" s="98"/>
      <c r="F132" s="88"/>
      <c r="G132" s="98"/>
      <c r="H132" s="88"/>
      <c r="I132" s="98"/>
      <c r="J132" s="88"/>
      <c r="K132" s="98"/>
      <c r="L132" s="88"/>
      <c r="M132" s="89"/>
    </row>
    <row r="133" spans="1:13" ht="18" customHeight="1" x14ac:dyDescent="0.25">
      <c r="A133" s="84" t="s">
        <v>14</v>
      </c>
      <c r="B133" s="88"/>
      <c r="C133" s="98"/>
      <c r="D133" s="88"/>
      <c r="E133" s="98"/>
      <c r="F133" s="88"/>
      <c r="G133" s="98"/>
      <c r="H133" s="88"/>
      <c r="I133" s="98"/>
      <c r="J133" s="88"/>
      <c r="K133" s="98"/>
      <c r="L133" s="88"/>
      <c r="M133" s="89"/>
    </row>
    <row r="134" spans="1:13" ht="18" customHeight="1" x14ac:dyDescent="0.25">
      <c r="A134" s="90" t="s">
        <v>9</v>
      </c>
      <c r="B134" s="102">
        <v>7837.41</v>
      </c>
      <c r="C134" s="98">
        <v>0.95550088327698812</v>
      </c>
      <c r="D134" s="88">
        <v>54</v>
      </c>
      <c r="E134" s="98">
        <v>6.5834309672401165E-3</v>
      </c>
      <c r="F134" s="88">
        <v>171.5</v>
      </c>
      <c r="G134" s="98">
        <v>2.090848909040148E-2</v>
      </c>
      <c r="H134" s="88"/>
      <c r="I134" s="98">
        <v>0</v>
      </c>
      <c r="J134" s="88">
        <v>139.5</v>
      </c>
      <c r="K134" s="98">
        <v>1.7007196665370299E-2</v>
      </c>
      <c r="L134" s="102">
        <v>8202.41</v>
      </c>
      <c r="M134" s="89">
        <v>1</v>
      </c>
    </row>
    <row r="135" spans="1:13" ht="18" customHeight="1" x14ac:dyDescent="0.25">
      <c r="A135" s="90" t="s">
        <v>10</v>
      </c>
      <c r="B135" s="88">
        <v>314</v>
      </c>
      <c r="C135" s="98">
        <v>0.81347150259067358</v>
      </c>
      <c r="D135" s="88"/>
      <c r="E135" s="98">
        <v>0</v>
      </c>
      <c r="F135" s="88">
        <v>72</v>
      </c>
      <c r="G135" s="98">
        <v>0.18652849740932642</v>
      </c>
      <c r="H135" s="88"/>
      <c r="I135" s="98">
        <v>0</v>
      </c>
      <c r="J135" s="88"/>
      <c r="K135" s="98">
        <v>0</v>
      </c>
      <c r="L135" s="102">
        <v>386</v>
      </c>
      <c r="M135" s="89">
        <v>1</v>
      </c>
    </row>
    <row r="136" spans="1:13" ht="18" customHeight="1" x14ac:dyDescent="0.25">
      <c r="A136" s="84" t="s">
        <v>15</v>
      </c>
      <c r="B136" s="102">
        <v>8151.41</v>
      </c>
      <c r="C136" s="98">
        <v>0.94911747343221853</v>
      </c>
      <c r="D136" s="88">
        <v>54</v>
      </c>
      <c r="E136" s="98">
        <v>6.2875433287418745E-3</v>
      </c>
      <c r="F136" s="88">
        <v>243.5</v>
      </c>
      <c r="G136" s="98">
        <v>2.8352162973123082E-2</v>
      </c>
      <c r="H136" s="88"/>
      <c r="I136" s="98">
        <v>0</v>
      </c>
      <c r="J136" s="88">
        <v>139.5</v>
      </c>
      <c r="K136" s="98">
        <v>1.6242820265916509E-2</v>
      </c>
      <c r="L136" s="102">
        <v>8588.41</v>
      </c>
      <c r="M136" s="89">
        <v>1</v>
      </c>
    </row>
    <row r="137" spans="1:13" ht="18" customHeight="1" x14ac:dyDescent="0.25">
      <c r="A137" s="84"/>
      <c r="B137" s="88"/>
      <c r="C137" s="98"/>
      <c r="D137" s="88"/>
      <c r="E137" s="98"/>
      <c r="F137" s="88"/>
      <c r="G137" s="98"/>
      <c r="H137" s="88"/>
      <c r="I137" s="98"/>
      <c r="J137" s="88"/>
      <c r="K137" s="98"/>
      <c r="L137" s="88"/>
      <c r="M137" s="89"/>
    </row>
    <row r="138" spans="1:13" ht="18" customHeight="1" x14ac:dyDescent="0.25">
      <c r="A138" s="84" t="s">
        <v>16</v>
      </c>
      <c r="B138" s="88"/>
      <c r="C138" s="98"/>
      <c r="D138" s="88"/>
      <c r="E138" s="98"/>
      <c r="F138" s="88"/>
      <c r="G138" s="98"/>
      <c r="H138" s="88"/>
      <c r="I138" s="98"/>
      <c r="J138" s="88"/>
      <c r="K138" s="98"/>
      <c r="L138" s="88"/>
      <c r="M138" s="89"/>
    </row>
    <row r="139" spans="1:13" ht="18" customHeight="1" x14ac:dyDescent="0.25">
      <c r="A139" s="90" t="s">
        <v>9</v>
      </c>
      <c r="B139" s="102">
        <v>7057.43</v>
      </c>
      <c r="C139" s="98">
        <v>0.98920726673329196</v>
      </c>
      <c r="D139" s="88">
        <v>44</v>
      </c>
      <c r="E139" s="98">
        <v>6.1672761524046065E-3</v>
      </c>
      <c r="F139" s="88">
        <v>33</v>
      </c>
      <c r="G139" s="98">
        <v>4.6254571143034551E-3</v>
      </c>
      <c r="H139" s="88"/>
      <c r="I139" s="98">
        <v>0</v>
      </c>
      <c r="J139" s="88"/>
      <c r="K139" s="98">
        <v>0</v>
      </c>
      <c r="L139" s="102">
        <v>7134.43</v>
      </c>
      <c r="M139" s="89">
        <v>1</v>
      </c>
    </row>
    <row r="140" spans="1:13" ht="18" customHeight="1" x14ac:dyDescent="0.25">
      <c r="A140" s="90" t="s">
        <v>10</v>
      </c>
      <c r="B140" s="88">
        <v>140</v>
      </c>
      <c r="C140" s="98">
        <v>0.46666666666666667</v>
      </c>
      <c r="D140" s="88"/>
      <c r="E140" s="98">
        <v>0</v>
      </c>
      <c r="F140" s="88">
        <v>160</v>
      </c>
      <c r="G140" s="98">
        <v>0.53333333333333333</v>
      </c>
      <c r="H140" s="88"/>
      <c r="I140" s="98">
        <v>0</v>
      </c>
      <c r="J140" s="88"/>
      <c r="K140" s="98">
        <v>0</v>
      </c>
      <c r="L140" s="102">
        <v>300</v>
      </c>
      <c r="M140" s="89">
        <v>1</v>
      </c>
    </row>
    <row r="141" spans="1:13" ht="18" customHeight="1" x14ac:dyDescent="0.25">
      <c r="A141" s="84" t="s">
        <v>17</v>
      </c>
      <c r="B141" s="102">
        <v>7197.43</v>
      </c>
      <c r="C141" s="98">
        <v>0.96812129510937628</v>
      </c>
      <c r="D141" s="88">
        <v>44</v>
      </c>
      <c r="E141" s="98">
        <v>5.9184093467824703E-3</v>
      </c>
      <c r="F141" s="88">
        <v>193</v>
      </c>
      <c r="G141" s="98">
        <v>2.5960295543841289E-2</v>
      </c>
      <c r="H141" s="88"/>
      <c r="I141" s="98">
        <v>0</v>
      </c>
      <c r="J141" s="88"/>
      <c r="K141" s="98">
        <v>0</v>
      </c>
      <c r="L141" s="102">
        <v>7434.43</v>
      </c>
      <c r="M141" s="89">
        <v>1</v>
      </c>
    </row>
    <row r="142" spans="1:13" ht="18" customHeight="1" x14ac:dyDescent="0.25">
      <c r="A142" s="84"/>
      <c r="B142" s="88"/>
      <c r="C142" s="98"/>
      <c r="D142" s="88"/>
      <c r="E142" s="98"/>
      <c r="F142" s="88"/>
      <c r="G142" s="98"/>
      <c r="H142" s="88"/>
      <c r="I142" s="98"/>
      <c r="J142" s="88"/>
      <c r="K142" s="98"/>
      <c r="L142" s="88"/>
      <c r="M142" s="89"/>
    </row>
    <row r="143" spans="1:13" ht="18" customHeight="1" x14ac:dyDescent="0.25">
      <c r="A143" s="84" t="s">
        <v>18</v>
      </c>
      <c r="B143" s="88"/>
      <c r="C143" s="98"/>
      <c r="D143" s="88"/>
      <c r="E143" s="98"/>
      <c r="F143" s="88"/>
      <c r="G143" s="98"/>
      <c r="H143" s="88"/>
      <c r="I143" s="98"/>
      <c r="J143" s="88"/>
      <c r="K143" s="98"/>
      <c r="L143" s="88"/>
      <c r="M143" s="89"/>
    </row>
    <row r="144" spans="1:13" ht="18" customHeight="1" x14ac:dyDescent="0.25">
      <c r="A144" s="90" t="s">
        <v>9</v>
      </c>
      <c r="B144" s="88">
        <v>8015</v>
      </c>
      <c r="C144" s="98">
        <v>0.95119418483904461</v>
      </c>
      <c r="D144" s="102">
        <v>395.25</v>
      </c>
      <c r="E144" s="98">
        <v>4.690698709390298E-2</v>
      </c>
      <c r="F144" s="88"/>
      <c r="G144" s="98">
        <v>0</v>
      </c>
      <c r="H144" s="88"/>
      <c r="I144" s="98">
        <v>0</v>
      </c>
      <c r="J144" s="88">
        <v>16</v>
      </c>
      <c r="K144" s="98">
        <v>1.898828067052366E-3</v>
      </c>
      <c r="L144" s="102">
        <v>8426.25</v>
      </c>
      <c r="M144" s="89">
        <v>1</v>
      </c>
    </row>
    <row r="145" spans="1:13" ht="18" customHeight="1" x14ac:dyDescent="0.25">
      <c r="A145" s="90" t="s">
        <v>10</v>
      </c>
      <c r="B145" s="88">
        <v>144</v>
      </c>
      <c r="C145" s="98">
        <v>0.51428571428571423</v>
      </c>
      <c r="D145" s="88"/>
      <c r="E145" s="98">
        <v>0</v>
      </c>
      <c r="F145" s="88">
        <v>136</v>
      </c>
      <c r="G145" s="98">
        <v>0.48571428571428571</v>
      </c>
      <c r="H145" s="88"/>
      <c r="I145" s="98">
        <v>0</v>
      </c>
      <c r="J145" s="88"/>
      <c r="K145" s="98">
        <v>0</v>
      </c>
      <c r="L145" s="102">
        <v>280</v>
      </c>
      <c r="M145" s="89">
        <v>1</v>
      </c>
    </row>
    <row r="146" spans="1:13" ht="18" customHeight="1" x14ac:dyDescent="0.25">
      <c r="A146" s="84" t="s">
        <v>19</v>
      </c>
      <c r="B146" s="88">
        <v>8159</v>
      </c>
      <c r="C146" s="98">
        <v>0.93714285714285717</v>
      </c>
      <c r="D146" s="102">
        <v>395.25</v>
      </c>
      <c r="E146" s="98">
        <v>4.5398420674802584E-2</v>
      </c>
      <c r="F146" s="88">
        <v>136</v>
      </c>
      <c r="G146" s="98">
        <v>1.5620961952620244E-2</v>
      </c>
      <c r="H146" s="88"/>
      <c r="I146" s="98">
        <v>0</v>
      </c>
      <c r="J146" s="88">
        <v>16</v>
      </c>
      <c r="K146" s="98">
        <v>1.8377602297200287E-3</v>
      </c>
      <c r="L146" s="102">
        <v>8706.25</v>
      </c>
      <c r="M146" s="89">
        <v>1</v>
      </c>
    </row>
    <row r="147" spans="1:13" ht="18" customHeight="1" x14ac:dyDescent="0.25">
      <c r="A147" s="84"/>
      <c r="B147" s="88"/>
      <c r="C147" s="98"/>
      <c r="D147" s="88"/>
      <c r="E147" s="98"/>
      <c r="F147" s="88"/>
      <c r="G147" s="98"/>
      <c r="H147" s="88"/>
      <c r="I147" s="98"/>
      <c r="J147" s="88"/>
      <c r="K147" s="98"/>
      <c r="L147" s="88"/>
      <c r="M147" s="89"/>
    </row>
    <row r="148" spans="1:13" ht="18" customHeight="1" x14ac:dyDescent="0.25">
      <c r="A148" s="84" t="s">
        <v>20</v>
      </c>
      <c r="B148" s="88"/>
      <c r="C148" s="98"/>
      <c r="D148" s="88"/>
      <c r="E148" s="98"/>
      <c r="F148" s="88"/>
      <c r="G148" s="98"/>
      <c r="H148" s="88"/>
      <c r="I148" s="98"/>
      <c r="J148" s="88"/>
      <c r="K148" s="98"/>
      <c r="L148" s="88"/>
      <c r="M148" s="89"/>
    </row>
    <row r="149" spans="1:13" ht="18" customHeight="1" x14ac:dyDescent="0.25">
      <c r="A149" s="90" t="s">
        <v>9</v>
      </c>
      <c r="B149" s="102">
        <v>6988.27</v>
      </c>
      <c r="C149" s="98">
        <v>0.91176877351745444</v>
      </c>
      <c r="D149" s="102">
        <v>358.25</v>
      </c>
      <c r="E149" s="98">
        <v>4.6741348447130411E-2</v>
      </c>
      <c r="F149" s="88">
        <v>40</v>
      </c>
      <c r="G149" s="98">
        <v>5.2188525830710857E-3</v>
      </c>
      <c r="H149" s="88"/>
      <c r="I149" s="98">
        <v>0</v>
      </c>
      <c r="J149" s="88">
        <v>278</v>
      </c>
      <c r="K149" s="98">
        <v>3.6271025452344043E-2</v>
      </c>
      <c r="L149" s="102">
        <v>7664.52</v>
      </c>
      <c r="M149" s="89">
        <v>1</v>
      </c>
    </row>
    <row r="150" spans="1:13" ht="18" customHeight="1" x14ac:dyDescent="0.25">
      <c r="A150" s="90" t="s">
        <v>10</v>
      </c>
      <c r="B150" s="88">
        <v>75</v>
      </c>
      <c r="C150" s="98">
        <v>0.28957528957528955</v>
      </c>
      <c r="D150" s="102"/>
      <c r="E150" s="98">
        <v>0</v>
      </c>
      <c r="F150" s="88">
        <v>184</v>
      </c>
      <c r="G150" s="98">
        <v>0.71042471042471045</v>
      </c>
      <c r="H150" s="88"/>
      <c r="I150" s="98">
        <v>0</v>
      </c>
      <c r="J150" s="88"/>
      <c r="K150" s="98">
        <v>0</v>
      </c>
      <c r="L150" s="102">
        <v>259</v>
      </c>
      <c r="M150" s="89">
        <v>1</v>
      </c>
    </row>
    <row r="151" spans="1:13" ht="18" customHeight="1" x14ac:dyDescent="0.25">
      <c r="A151" s="84" t="s">
        <v>21</v>
      </c>
      <c r="B151" s="102">
        <v>7063.27</v>
      </c>
      <c r="C151" s="98">
        <v>0.89143082872258794</v>
      </c>
      <c r="D151" s="102">
        <v>358.25</v>
      </c>
      <c r="E151" s="98">
        <v>4.521349097370865E-2</v>
      </c>
      <c r="F151" s="88">
        <v>224</v>
      </c>
      <c r="G151" s="98">
        <v>2.8270263721174426E-2</v>
      </c>
      <c r="H151" s="88"/>
      <c r="I151" s="98">
        <v>0</v>
      </c>
      <c r="J151" s="88">
        <v>278</v>
      </c>
      <c r="K151" s="98">
        <v>3.5085416582528978E-2</v>
      </c>
      <c r="L151" s="102">
        <v>7923.52</v>
      </c>
      <c r="M151" s="89">
        <v>1</v>
      </c>
    </row>
    <row r="152" spans="1:13" ht="18" customHeight="1" x14ac:dyDescent="0.25">
      <c r="A152" s="84"/>
      <c r="B152" s="88"/>
      <c r="C152" s="98"/>
      <c r="D152" s="88"/>
      <c r="E152" s="98"/>
      <c r="F152" s="88"/>
      <c r="G152" s="98"/>
      <c r="H152" s="88"/>
      <c r="I152" s="98"/>
      <c r="J152" s="88"/>
      <c r="K152" s="98"/>
      <c r="L152" s="88"/>
      <c r="M152" s="89"/>
    </row>
    <row r="153" spans="1:13" ht="18" customHeight="1" x14ac:dyDescent="0.25">
      <c r="A153" s="84" t="s">
        <v>22</v>
      </c>
      <c r="B153" s="88"/>
      <c r="C153" s="98"/>
      <c r="D153" s="88"/>
      <c r="E153" s="98"/>
      <c r="F153" s="88"/>
      <c r="G153" s="98"/>
      <c r="H153" s="88"/>
      <c r="I153" s="98"/>
      <c r="J153" s="88"/>
      <c r="K153" s="98"/>
      <c r="L153" s="102"/>
      <c r="M153" s="89"/>
    </row>
    <row r="154" spans="1:13" ht="18" customHeight="1" x14ac:dyDescent="0.25">
      <c r="A154" s="90" t="s">
        <v>9</v>
      </c>
      <c r="B154" s="88">
        <v>6373</v>
      </c>
      <c r="C154" s="98">
        <v>0.92731902510003639</v>
      </c>
      <c r="D154" s="88">
        <v>220</v>
      </c>
      <c r="E154" s="98">
        <v>3.2011640596580578E-2</v>
      </c>
      <c r="F154" s="88">
        <v>40</v>
      </c>
      <c r="G154" s="98">
        <v>5.8202982902873773E-3</v>
      </c>
      <c r="H154" s="88"/>
      <c r="I154" s="98">
        <v>0</v>
      </c>
      <c r="J154" s="88">
        <v>239.5</v>
      </c>
      <c r="K154" s="98">
        <v>3.484903601309567E-2</v>
      </c>
      <c r="L154" s="102">
        <v>6872.5</v>
      </c>
      <c r="M154" s="89">
        <v>1</v>
      </c>
    </row>
    <row r="155" spans="1:13" ht="18" customHeight="1" x14ac:dyDescent="0.25">
      <c r="A155" s="90" t="s">
        <v>10</v>
      </c>
      <c r="B155" s="88">
        <v>160</v>
      </c>
      <c r="C155" s="98">
        <v>0.52287581699346408</v>
      </c>
      <c r="D155" s="88"/>
      <c r="E155" s="98">
        <v>0</v>
      </c>
      <c r="F155" s="88">
        <v>146</v>
      </c>
      <c r="G155" s="98">
        <v>0.47712418300653597</v>
      </c>
      <c r="H155" s="88"/>
      <c r="I155" s="98">
        <v>0</v>
      </c>
      <c r="J155" s="88"/>
      <c r="K155" s="98">
        <v>0</v>
      </c>
      <c r="L155" s="102">
        <v>306</v>
      </c>
      <c r="M155" s="89">
        <v>1</v>
      </c>
    </row>
    <row r="156" spans="1:13" ht="18" customHeight="1" x14ac:dyDescent="0.25">
      <c r="A156" s="84" t="s">
        <v>23</v>
      </c>
      <c r="B156" s="88">
        <v>6533</v>
      </c>
      <c r="C156" s="98">
        <v>0.91007870725081841</v>
      </c>
      <c r="D156" s="88">
        <v>220</v>
      </c>
      <c r="E156" s="98">
        <v>3.0647071115135475E-2</v>
      </c>
      <c r="F156" s="88">
        <v>186</v>
      </c>
      <c r="G156" s="98">
        <v>2.591070557915999E-2</v>
      </c>
      <c r="H156" s="88"/>
      <c r="I156" s="98">
        <v>0</v>
      </c>
      <c r="J156" s="88">
        <v>239.5</v>
      </c>
      <c r="K156" s="98">
        <v>3.3363516054886119E-2</v>
      </c>
      <c r="L156" s="102">
        <v>7178.5</v>
      </c>
      <c r="M156" s="89">
        <v>1</v>
      </c>
    </row>
    <row r="157" spans="1:13" ht="18" customHeight="1" x14ac:dyDescent="0.25">
      <c r="A157" s="84"/>
      <c r="B157" s="88"/>
      <c r="C157" s="98"/>
      <c r="D157" s="88"/>
      <c r="E157" s="98"/>
      <c r="F157" s="88"/>
      <c r="G157" s="98"/>
      <c r="H157" s="88"/>
      <c r="I157" s="98"/>
      <c r="J157" s="88"/>
      <c r="K157" s="98"/>
      <c r="L157" s="88"/>
      <c r="M157" s="89"/>
    </row>
    <row r="158" spans="1:13" ht="18" customHeight="1" x14ac:dyDescent="0.25">
      <c r="A158" s="84" t="s">
        <v>24</v>
      </c>
      <c r="B158" s="88"/>
      <c r="C158" s="98"/>
      <c r="D158" s="88"/>
      <c r="E158" s="98"/>
      <c r="F158" s="88"/>
      <c r="G158" s="98"/>
      <c r="H158" s="88"/>
      <c r="I158" s="98"/>
      <c r="J158" s="88"/>
      <c r="K158" s="98"/>
      <c r="L158" s="88"/>
      <c r="M158" s="89"/>
    </row>
    <row r="159" spans="1:13" ht="18" customHeight="1" x14ac:dyDescent="0.25">
      <c r="A159" s="90" t="s">
        <v>9</v>
      </c>
      <c r="B159" s="102">
        <v>6691.7</v>
      </c>
      <c r="C159" s="98">
        <v>0.9287964800755063</v>
      </c>
      <c r="D159" s="88">
        <v>239</v>
      </c>
      <c r="E159" s="98">
        <v>3.3172789984315797E-2</v>
      </c>
      <c r="F159" s="88">
        <v>40</v>
      </c>
      <c r="G159" s="98">
        <v>5.5519313781281663E-3</v>
      </c>
      <c r="H159" s="88">
        <v>24</v>
      </c>
      <c r="I159" s="98">
        <v>3.3311588268768997E-3</v>
      </c>
      <c r="J159" s="88">
        <v>210</v>
      </c>
      <c r="K159" s="98">
        <v>2.9147639735172873E-2</v>
      </c>
      <c r="L159" s="102">
        <v>7204.7</v>
      </c>
      <c r="M159" s="89">
        <v>1</v>
      </c>
    </row>
    <row r="160" spans="1:13" ht="18" customHeight="1" x14ac:dyDescent="0.25">
      <c r="A160" s="90" t="s">
        <v>10</v>
      </c>
      <c r="B160" s="102">
        <v>95</v>
      </c>
      <c r="C160" s="98">
        <v>0.36121673003802279</v>
      </c>
      <c r="D160" s="88"/>
      <c r="E160" s="98">
        <v>0</v>
      </c>
      <c r="F160" s="88">
        <v>168</v>
      </c>
      <c r="G160" s="98">
        <v>0.63878326996197721</v>
      </c>
      <c r="H160" s="88"/>
      <c r="I160" s="98">
        <v>0</v>
      </c>
      <c r="J160" s="88"/>
      <c r="K160" s="98">
        <v>0</v>
      </c>
      <c r="L160" s="102">
        <v>263</v>
      </c>
      <c r="M160" s="89">
        <v>1</v>
      </c>
    </row>
    <row r="161" spans="1:13" ht="18" customHeight="1" x14ac:dyDescent="0.25">
      <c r="A161" s="84" t="s">
        <v>25</v>
      </c>
      <c r="B161" s="102">
        <v>6786.7</v>
      </c>
      <c r="C161" s="98">
        <v>0.90880726328052819</v>
      </c>
      <c r="D161" s="88">
        <v>239</v>
      </c>
      <c r="E161" s="98">
        <v>3.2004499377318321E-2</v>
      </c>
      <c r="F161" s="88">
        <v>208</v>
      </c>
      <c r="G161" s="98">
        <v>2.7853288161013432E-2</v>
      </c>
      <c r="H161" s="88">
        <v>24</v>
      </c>
      <c r="I161" s="98">
        <v>3.2138409416553959E-3</v>
      </c>
      <c r="J161" s="88">
        <v>210</v>
      </c>
      <c r="K161" s="98">
        <v>2.8121108239484716E-2</v>
      </c>
      <c r="L161" s="102">
        <v>7467.7</v>
      </c>
      <c r="M161" s="89">
        <v>1</v>
      </c>
    </row>
    <row r="162" spans="1:13" ht="18" customHeight="1" x14ac:dyDescent="0.25">
      <c r="A162" s="84"/>
      <c r="B162" s="88"/>
      <c r="C162" s="98"/>
      <c r="D162" s="88"/>
      <c r="E162" s="98"/>
      <c r="F162" s="88"/>
      <c r="G162" s="98"/>
      <c r="H162" s="88"/>
      <c r="I162" s="98"/>
      <c r="J162" s="88"/>
      <c r="K162" s="98"/>
      <c r="L162" s="88"/>
      <c r="M162" s="89"/>
    </row>
    <row r="163" spans="1:13" ht="18" customHeight="1" thickBot="1" x14ac:dyDescent="0.3">
      <c r="A163" s="94" t="s">
        <v>11</v>
      </c>
      <c r="B163" s="104">
        <v>162207.44</v>
      </c>
      <c r="C163" s="105">
        <v>0.91889872716270349</v>
      </c>
      <c r="D163" s="104">
        <v>3684.5</v>
      </c>
      <c r="E163" s="105">
        <v>2.0872546661429223E-2</v>
      </c>
      <c r="F163" s="103">
        <v>5123</v>
      </c>
      <c r="G163" s="105">
        <v>2.902159222323298E-2</v>
      </c>
      <c r="H163" s="104">
        <v>1633.3</v>
      </c>
      <c r="I163" s="105">
        <v>9.2525798512993213E-3</v>
      </c>
      <c r="J163" s="103">
        <v>3875.5</v>
      </c>
      <c r="K163" s="105">
        <v>2.1954554101335039E-2</v>
      </c>
      <c r="L163" s="104">
        <v>176523.74</v>
      </c>
      <c r="M163" s="89">
        <v>1</v>
      </c>
    </row>
    <row r="164" spans="1:13" ht="18" customHeight="1" thickTop="1" x14ac:dyDescent="0.25"/>
  </sheetData>
  <mergeCells count="12">
    <mergeCell ref="A1:L1"/>
    <mergeCell ref="A9:L9"/>
    <mergeCell ref="J10:K10"/>
    <mergeCell ref="H10:I10"/>
    <mergeCell ref="F10:G10"/>
    <mergeCell ref="D10:E10"/>
    <mergeCell ref="B10:C10"/>
    <mergeCell ref="B2:C2"/>
    <mergeCell ref="D2:E2"/>
    <mergeCell ref="F2:G2"/>
    <mergeCell ref="H2:I2"/>
    <mergeCell ref="J2:K2"/>
  </mergeCells>
  <printOptions horizontalCentered="1"/>
  <pageMargins left="0.7" right="0.7" top="0.75" bottom="0.75" header="0.3" footer="0.3"/>
  <pageSetup scale="53" fitToHeight="0" orientation="portrait" r:id="rId3"/>
  <rowBreaks count="2" manualBreakCount="2">
    <brk id="84" max="11" man="1"/>
    <brk id="147" max="11" man="1"/>
  </rowBreaks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C878-2435-4982-B8BA-54F36FA0F1DD}">
  <sheetPr>
    <pageSetUpPr fitToPage="1"/>
  </sheetPr>
  <dimension ref="A1:Y267"/>
  <sheetViews>
    <sheetView tabSelected="1" view="pageBreakPreview" zoomScale="87" zoomScaleNormal="100" zoomScaleSheetLayoutView="100" zoomScalePageLayoutView="110" workbookViewId="0">
      <selection activeCell="F9" sqref="F9"/>
    </sheetView>
  </sheetViews>
  <sheetFormatPr defaultColWidth="9.109375" defaultRowHeight="18" customHeight="1" x14ac:dyDescent="0.25"/>
  <cols>
    <col min="1" max="1" width="29.88671875" style="4" customWidth="1"/>
    <col min="2" max="2" width="13.77734375" style="4" customWidth="1"/>
    <col min="3" max="3" width="13.77734375" style="7" customWidth="1"/>
    <col min="4" max="4" width="13.77734375" style="4" customWidth="1"/>
    <col min="5" max="5" width="13.77734375" style="7" customWidth="1"/>
    <col min="6" max="6" width="13.77734375" style="4" customWidth="1"/>
    <col min="7" max="7" width="13.77734375" style="7" customWidth="1"/>
    <col min="8" max="8" width="13.77734375" style="4" customWidth="1"/>
    <col min="9" max="9" width="13.77734375" style="7" customWidth="1"/>
    <col min="10" max="10" width="13.77734375" style="4" customWidth="1"/>
    <col min="11" max="11" width="13.77734375" style="6" customWidth="1"/>
    <col min="12" max="12" width="13.77734375" style="4" customWidth="1"/>
    <col min="13" max="13" width="29.21875" style="4" hidden="1" customWidth="1"/>
    <col min="14" max="16384" width="9.109375" style="4"/>
  </cols>
  <sheetData>
    <row r="1" spans="1:19" ht="18" customHeight="1" x14ac:dyDescent="0.25">
      <c r="A1" s="65" t="s">
        <v>173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9" ht="18" hidden="1" customHeight="1" x14ac:dyDescent="0.25">
      <c r="A2" s="86" t="s">
        <v>53</v>
      </c>
      <c r="B2" s="87">
        <v>2025</v>
      </c>
    </row>
    <row r="3" spans="1:19" ht="19.5" hidden="1" customHeight="1" x14ac:dyDescent="0.25">
      <c r="A3" s="86" t="s">
        <v>55</v>
      </c>
      <c r="B3" s="82" t="s">
        <v>77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</row>
    <row r="4" spans="1:19" ht="22.5" customHeight="1" x14ac:dyDescent="0.25">
      <c r="A4" s="5"/>
      <c r="B4" s="64" t="s">
        <v>0</v>
      </c>
      <c r="C4" s="64"/>
      <c r="D4" s="64" t="s">
        <v>1</v>
      </c>
      <c r="E4" s="64"/>
      <c r="F4" s="64" t="s">
        <v>2</v>
      </c>
      <c r="G4" s="64"/>
      <c r="H4" s="64" t="s">
        <v>3</v>
      </c>
      <c r="I4" s="64"/>
      <c r="J4" s="54" t="s">
        <v>115</v>
      </c>
      <c r="K4" s="54"/>
      <c r="L4" s="5" t="s">
        <v>4</v>
      </c>
    </row>
    <row r="5" spans="1:19" ht="12.75" hidden="1" customHeight="1" x14ac:dyDescent="0.3">
      <c r="A5" s="82"/>
      <c r="B5" s="86" t="s">
        <v>5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/>
      <c r="O5"/>
      <c r="P5"/>
      <c r="Q5"/>
      <c r="R5"/>
      <c r="S5"/>
    </row>
    <row r="6" spans="1:19" ht="12.75" hidden="1" customHeight="1" x14ac:dyDescent="0.3">
      <c r="A6" s="82"/>
      <c r="B6" s="85" t="s">
        <v>0</v>
      </c>
      <c r="C6" s="85"/>
      <c r="D6" s="84" t="s">
        <v>1</v>
      </c>
      <c r="E6" s="84"/>
      <c r="F6" s="85" t="s">
        <v>2</v>
      </c>
      <c r="G6" s="85"/>
      <c r="H6" s="84" t="s">
        <v>3</v>
      </c>
      <c r="I6" s="84"/>
      <c r="J6" s="82" t="s">
        <v>111</v>
      </c>
      <c r="K6" s="82"/>
      <c r="L6" s="82" t="s">
        <v>4</v>
      </c>
      <c r="M6" s="82" t="s">
        <v>6</v>
      </c>
      <c r="N6"/>
      <c r="O6"/>
      <c r="P6"/>
      <c r="Q6"/>
      <c r="R6"/>
      <c r="S6"/>
    </row>
    <row r="7" spans="1:19" ht="15" customHeight="1" x14ac:dyDescent="0.3">
      <c r="A7" s="101" t="s">
        <v>5</v>
      </c>
      <c r="B7" s="101" t="s">
        <v>7</v>
      </c>
      <c r="C7" s="101" t="s">
        <v>8</v>
      </c>
      <c r="D7" s="101" t="s">
        <v>7</v>
      </c>
      <c r="E7" s="101" t="s">
        <v>8</v>
      </c>
      <c r="F7" s="101" t="s">
        <v>7</v>
      </c>
      <c r="G7" s="101" t="s">
        <v>8</v>
      </c>
      <c r="H7" s="101" t="s">
        <v>7</v>
      </c>
      <c r="I7" s="101" t="s">
        <v>8</v>
      </c>
      <c r="J7" s="100" t="s">
        <v>7</v>
      </c>
      <c r="K7" s="100" t="s">
        <v>8</v>
      </c>
      <c r="L7" s="101"/>
      <c r="M7" s="101"/>
      <c r="N7"/>
      <c r="O7"/>
      <c r="P7"/>
      <c r="Q7"/>
      <c r="R7"/>
      <c r="S7"/>
    </row>
    <row r="8" spans="1:19" ht="15" customHeight="1" x14ac:dyDescent="0.3">
      <c r="A8" s="84" t="s">
        <v>40</v>
      </c>
      <c r="B8" s="88">
        <v>18</v>
      </c>
      <c r="C8" s="98">
        <v>0.94736842105263153</v>
      </c>
      <c r="D8" s="88"/>
      <c r="E8" s="98">
        <v>0</v>
      </c>
      <c r="F8" s="88"/>
      <c r="G8" s="112">
        <v>0</v>
      </c>
      <c r="H8" s="88">
        <v>1</v>
      </c>
      <c r="I8" s="112">
        <v>5.2631578947368418E-2</v>
      </c>
      <c r="J8" s="88"/>
      <c r="K8" s="112">
        <v>0</v>
      </c>
      <c r="L8" s="88">
        <v>19</v>
      </c>
      <c r="M8" s="89">
        <v>1</v>
      </c>
      <c r="N8"/>
      <c r="O8"/>
      <c r="P8"/>
      <c r="Q8"/>
      <c r="R8"/>
      <c r="S8"/>
    </row>
    <row r="9" spans="1:19" ht="15" customHeight="1" x14ac:dyDescent="0.3">
      <c r="A9" s="84" t="s">
        <v>153</v>
      </c>
      <c r="B9" s="88">
        <v>8</v>
      </c>
      <c r="C9" s="112">
        <v>1</v>
      </c>
      <c r="D9" s="88"/>
      <c r="E9" s="112">
        <v>0</v>
      </c>
      <c r="F9" s="88"/>
      <c r="G9" s="112">
        <v>0</v>
      </c>
      <c r="H9" s="88"/>
      <c r="I9" s="112">
        <v>0</v>
      </c>
      <c r="J9" s="88"/>
      <c r="K9" s="112">
        <v>0</v>
      </c>
      <c r="L9" s="88">
        <v>8</v>
      </c>
      <c r="M9" s="89">
        <v>1</v>
      </c>
      <c r="N9"/>
      <c r="O9"/>
      <c r="P9"/>
      <c r="Q9"/>
      <c r="R9"/>
      <c r="S9"/>
    </row>
    <row r="10" spans="1:19" ht="15" customHeight="1" x14ac:dyDescent="0.3">
      <c r="A10" s="84" t="s">
        <v>137</v>
      </c>
      <c r="B10" s="88">
        <v>7</v>
      </c>
      <c r="C10" s="112">
        <v>0.875</v>
      </c>
      <c r="D10" s="88">
        <v>1</v>
      </c>
      <c r="E10" s="112">
        <v>0.125</v>
      </c>
      <c r="F10" s="88"/>
      <c r="G10" s="112">
        <v>0</v>
      </c>
      <c r="H10" s="88"/>
      <c r="I10" s="112">
        <v>0</v>
      </c>
      <c r="J10" s="88"/>
      <c r="K10" s="112">
        <v>0</v>
      </c>
      <c r="L10" s="88">
        <v>8</v>
      </c>
      <c r="M10" s="89">
        <v>1</v>
      </c>
      <c r="N10"/>
      <c r="O10"/>
      <c r="P10"/>
      <c r="Q10"/>
      <c r="R10"/>
      <c r="S10"/>
    </row>
    <row r="11" spans="1:19" ht="18" customHeight="1" x14ac:dyDescent="0.3">
      <c r="A11" s="84" t="s">
        <v>43</v>
      </c>
      <c r="B11" s="88">
        <v>6</v>
      </c>
      <c r="C11" s="112">
        <v>1</v>
      </c>
      <c r="D11" s="88"/>
      <c r="E11" s="112">
        <v>0</v>
      </c>
      <c r="F11" s="88"/>
      <c r="G11" s="112">
        <v>0</v>
      </c>
      <c r="H11" s="88"/>
      <c r="I11" s="112">
        <v>0</v>
      </c>
      <c r="J11" s="88"/>
      <c r="K11" s="112">
        <v>0</v>
      </c>
      <c r="L11" s="88">
        <v>6</v>
      </c>
      <c r="M11" s="89">
        <v>1</v>
      </c>
      <c r="N11"/>
      <c r="O11"/>
      <c r="P11"/>
      <c r="Q11"/>
      <c r="R11"/>
      <c r="S11"/>
    </row>
    <row r="12" spans="1:19" ht="18" customHeight="1" x14ac:dyDescent="0.3">
      <c r="A12" s="84" t="s">
        <v>45</v>
      </c>
      <c r="B12" s="88">
        <v>19</v>
      </c>
      <c r="C12" s="98">
        <v>0.86363636363636365</v>
      </c>
      <c r="D12" s="88"/>
      <c r="E12" s="112">
        <v>0</v>
      </c>
      <c r="F12" s="88">
        <v>3</v>
      </c>
      <c r="G12" s="98">
        <v>0.13636363636363635</v>
      </c>
      <c r="H12" s="88"/>
      <c r="I12" s="112">
        <v>0</v>
      </c>
      <c r="J12" s="88"/>
      <c r="K12" s="112">
        <v>0</v>
      </c>
      <c r="L12" s="88">
        <v>22</v>
      </c>
      <c r="M12" s="89">
        <v>1</v>
      </c>
      <c r="N12"/>
      <c r="O12"/>
      <c r="P12"/>
      <c r="Q12"/>
      <c r="R12"/>
      <c r="S12"/>
    </row>
    <row r="13" spans="1:19" ht="18" customHeight="1" x14ac:dyDescent="0.3">
      <c r="A13" s="84" t="s">
        <v>161</v>
      </c>
      <c r="B13" s="88">
        <v>1</v>
      </c>
      <c r="C13" s="112">
        <v>1</v>
      </c>
      <c r="D13" s="88"/>
      <c r="E13" s="112">
        <v>0</v>
      </c>
      <c r="F13" s="88"/>
      <c r="G13" s="112">
        <v>0</v>
      </c>
      <c r="H13" s="88"/>
      <c r="I13" s="112">
        <v>0</v>
      </c>
      <c r="J13" s="88"/>
      <c r="K13" s="112">
        <v>0</v>
      </c>
      <c r="L13" s="88">
        <v>1</v>
      </c>
      <c r="M13" s="89">
        <v>1</v>
      </c>
      <c r="N13"/>
      <c r="O13"/>
      <c r="P13"/>
      <c r="Q13"/>
      <c r="R13"/>
      <c r="S13"/>
    </row>
    <row r="14" spans="1:19" ht="18" customHeight="1" x14ac:dyDescent="0.3">
      <c r="A14" s="84" t="s">
        <v>124</v>
      </c>
      <c r="B14" s="88">
        <v>4</v>
      </c>
      <c r="C14" s="112">
        <v>1</v>
      </c>
      <c r="D14" s="88"/>
      <c r="E14" s="112">
        <v>0</v>
      </c>
      <c r="F14" s="88"/>
      <c r="G14" s="112">
        <v>0</v>
      </c>
      <c r="H14" s="88"/>
      <c r="I14" s="112">
        <v>0</v>
      </c>
      <c r="J14" s="88"/>
      <c r="K14" s="112">
        <v>0</v>
      </c>
      <c r="L14" s="88">
        <v>4</v>
      </c>
      <c r="M14" s="89">
        <v>1</v>
      </c>
      <c r="N14"/>
      <c r="O14"/>
      <c r="P14"/>
      <c r="Q14"/>
      <c r="R14"/>
      <c r="S14"/>
    </row>
    <row r="15" spans="1:19" ht="18" customHeight="1" x14ac:dyDescent="0.3">
      <c r="A15" s="84" t="s">
        <v>46</v>
      </c>
      <c r="B15" s="88">
        <v>24</v>
      </c>
      <c r="C15" s="98">
        <v>1</v>
      </c>
      <c r="D15" s="88"/>
      <c r="E15" s="98">
        <v>0</v>
      </c>
      <c r="F15" s="88"/>
      <c r="G15" s="112">
        <v>0</v>
      </c>
      <c r="H15" s="88"/>
      <c r="I15" s="98">
        <v>0</v>
      </c>
      <c r="J15" s="88"/>
      <c r="K15" s="112">
        <v>0</v>
      </c>
      <c r="L15" s="88">
        <v>24</v>
      </c>
      <c r="M15" s="89">
        <v>1</v>
      </c>
      <c r="N15"/>
      <c r="O15"/>
      <c r="P15"/>
      <c r="Q15"/>
      <c r="R15"/>
      <c r="S15"/>
    </row>
    <row r="16" spans="1:19" ht="18" customHeight="1" x14ac:dyDescent="0.3">
      <c r="A16" s="84" t="s">
        <v>143</v>
      </c>
      <c r="B16" s="88">
        <v>3</v>
      </c>
      <c r="C16" s="112">
        <v>1</v>
      </c>
      <c r="D16" s="88"/>
      <c r="E16" s="112">
        <v>0</v>
      </c>
      <c r="F16" s="88"/>
      <c r="G16" s="112">
        <v>0</v>
      </c>
      <c r="H16" s="88"/>
      <c r="I16" s="112">
        <v>0</v>
      </c>
      <c r="J16" s="88"/>
      <c r="K16" s="112">
        <v>0</v>
      </c>
      <c r="L16" s="88">
        <v>3</v>
      </c>
      <c r="M16" s="89">
        <v>1</v>
      </c>
      <c r="N16"/>
      <c r="O16"/>
      <c r="P16"/>
      <c r="Q16"/>
      <c r="R16"/>
      <c r="S16"/>
    </row>
    <row r="17" spans="1:19" ht="18" customHeight="1" x14ac:dyDescent="0.3">
      <c r="A17" s="84" t="s">
        <v>127</v>
      </c>
      <c r="B17" s="88">
        <v>5</v>
      </c>
      <c r="C17" s="112">
        <v>0.7142857142857143</v>
      </c>
      <c r="D17" s="88">
        <v>2</v>
      </c>
      <c r="E17" s="112">
        <v>0.2857142857142857</v>
      </c>
      <c r="F17" s="88"/>
      <c r="G17" s="112">
        <v>0</v>
      </c>
      <c r="H17" s="88"/>
      <c r="I17" s="112">
        <v>0</v>
      </c>
      <c r="J17" s="88"/>
      <c r="K17" s="112">
        <v>0</v>
      </c>
      <c r="L17" s="88">
        <v>7</v>
      </c>
      <c r="M17" s="89">
        <v>1</v>
      </c>
      <c r="N17"/>
      <c r="O17"/>
      <c r="P17"/>
      <c r="Q17"/>
      <c r="R17"/>
      <c r="S17"/>
    </row>
    <row r="18" spans="1:19" ht="18" customHeight="1" x14ac:dyDescent="0.3">
      <c r="A18" s="84" t="s">
        <v>140</v>
      </c>
      <c r="B18" s="88">
        <v>28</v>
      </c>
      <c r="C18" s="112">
        <v>1</v>
      </c>
      <c r="D18" s="88"/>
      <c r="E18" s="112">
        <v>0</v>
      </c>
      <c r="F18" s="88"/>
      <c r="G18" s="112">
        <v>0</v>
      </c>
      <c r="H18" s="88"/>
      <c r="I18" s="112">
        <v>0</v>
      </c>
      <c r="J18" s="88"/>
      <c r="K18" s="112">
        <v>0</v>
      </c>
      <c r="L18" s="88">
        <v>28</v>
      </c>
      <c r="M18" s="89">
        <v>1</v>
      </c>
      <c r="N18"/>
      <c r="O18"/>
      <c r="P18"/>
      <c r="Q18"/>
      <c r="R18"/>
      <c r="S18"/>
    </row>
    <row r="19" spans="1:19" ht="18" customHeight="1" x14ac:dyDescent="0.3">
      <c r="A19" s="84" t="s">
        <v>106</v>
      </c>
      <c r="B19" s="88">
        <v>3</v>
      </c>
      <c r="C19" s="112">
        <v>1</v>
      </c>
      <c r="D19" s="88"/>
      <c r="E19" s="112">
        <v>0</v>
      </c>
      <c r="F19" s="88"/>
      <c r="G19" s="112">
        <v>0</v>
      </c>
      <c r="H19" s="88"/>
      <c r="I19" s="112">
        <v>0</v>
      </c>
      <c r="J19" s="88"/>
      <c r="K19" s="112">
        <v>0</v>
      </c>
      <c r="L19" s="88">
        <v>3</v>
      </c>
      <c r="M19" s="89">
        <v>1</v>
      </c>
      <c r="N19"/>
      <c r="O19"/>
      <c r="P19"/>
      <c r="Q19"/>
      <c r="R19"/>
      <c r="S19"/>
    </row>
    <row r="20" spans="1:19" ht="18" customHeight="1" x14ac:dyDescent="0.3">
      <c r="A20" s="84" t="s">
        <v>47</v>
      </c>
      <c r="B20" s="88">
        <v>6</v>
      </c>
      <c r="C20" s="112">
        <v>1</v>
      </c>
      <c r="D20" s="88"/>
      <c r="E20" s="112">
        <v>0</v>
      </c>
      <c r="F20" s="88"/>
      <c r="G20" s="112">
        <v>0</v>
      </c>
      <c r="H20" s="88"/>
      <c r="I20" s="112">
        <v>0</v>
      </c>
      <c r="J20" s="88"/>
      <c r="K20" s="112">
        <v>0</v>
      </c>
      <c r="L20" s="88">
        <v>6</v>
      </c>
      <c r="M20" s="89">
        <v>1</v>
      </c>
      <c r="N20"/>
      <c r="O20"/>
      <c r="P20"/>
      <c r="Q20"/>
      <c r="R20"/>
      <c r="S20"/>
    </row>
    <row r="21" spans="1:19" ht="18" customHeight="1" x14ac:dyDescent="0.3">
      <c r="A21" s="84" t="s">
        <v>162</v>
      </c>
      <c r="B21" s="88">
        <v>3</v>
      </c>
      <c r="C21" s="112">
        <v>1</v>
      </c>
      <c r="D21" s="88"/>
      <c r="E21" s="112">
        <v>0</v>
      </c>
      <c r="F21" s="88"/>
      <c r="G21" s="112">
        <v>0</v>
      </c>
      <c r="H21" s="88"/>
      <c r="I21" s="112">
        <v>0</v>
      </c>
      <c r="J21" s="88"/>
      <c r="K21" s="112">
        <v>0</v>
      </c>
      <c r="L21" s="88">
        <v>3</v>
      </c>
      <c r="M21" s="89">
        <v>1</v>
      </c>
      <c r="N21"/>
      <c r="O21"/>
      <c r="P21"/>
      <c r="Q21"/>
      <c r="R21"/>
      <c r="S21"/>
    </row>
    <row r="22" spans="1:19" ht="18" customHeight="1" x14ac:dyDescent="0.3">
      <c r="A22" s="84" t="s">
        <v>112</v>
      </c>
      <c r="B22" s="88">
        <v>16</v>
      </c>
      <c r="C22" s="112">
        <v>0.72727272727272729</v>
      </c>
      <c r="D22" s="88"/>
      <c r="E22" s="112">
        <v>0</v>
      </c>
      <c r="F22" s="88"/>
      <c r="G22" s="112">
        <v>0</v>
      </c>
      <c r="H22" s="88"/>
      <c r="I22" s="112">
        <v>0</v>
      </c>
      <c r="J22" s="88">
        <v>6</v>
      </c>
      <c r="K22" s="112">
        <v>0.27272727272727271</v>
      </c>
      <c r="L22" s="88">
        <v>22</v>
      </c>
      <c r="M22" s="89">
        <v>1</v>
      </c>
      <c r="N22"/>
      <c r="O22"/>
      <c r="P22"/>
      <c r="Q22"/>
      <c r="R22"/>
      <c r="S22"/>
    </row>
    <row r="23" spans="1:19" ht="18" customHeight="1" x14ac:dyDescent="0.3">
      <c r="A23" s="84" t="s">
        <v>150</v>
      </c>
      <c r="B23" s="88">
        <v>6</v>
      </c>
      <c r="C23" s="112">
        <v>1</v>
      </c>
      <c r="D23" s="88"/>
      <c r="E23" s="112">
        <v>0</v>
      </c>
      <c r="F23" s="88"/>
      <c r="G23" s="112">
        <v>0</v>
      </c>
      <c r="H23" s="88"/>
      <c r="I23" s="112">
        <v>0</v>
      </c>
      <c r="J23" s="88"/>
      <c r="K23" s="112">
        <v>0</v>
      </c>
      <c r="L23" s="88">
        <v>6</v>
      </c>
      <c r="M23" s="89">
        <v>1</v>
      </c>
      <c r="N23"/>
      <c r="O23"/>
      <c r="P23"/>
      <c r="Q23"/>
      <c r="R23"/>
      <c r="S23"/>
    </row>
    <row r="24" spans="1:19" ht="18" customHeight="1" x14ac:dyDescent="0.3">
      <c r="A24" s="84" t="s">
        <v>48</v>
      </c>
      <c r="B24" s="88">
        <v>76</v>
      </c>
      <c r="C24" s="98">
        <v>0.93827160493827155</v>
      </c>
      <c r="D24" s="88">
        <v>5</v>
      </c>
      <c r="E24" s="98">
        <v>6.1728395061728392E-2</v>
      </c>
      <c r="F24" s="88"/>
      <c r="G24" s="112">
        <v>0</v>
      </c>
      <c r="H24" s="88"/>
      <c r="I24" s="112">
        <v>0</v>
      </c>
      <c r="J24" s="88"/>
      <c r="K24" s="112">
        <v>0</v>
      </c>
      <c r="L24" s="88">
        <v>81</v>
      </c>
      <c r="M24" s="89">
        <v>1</v>
      </c>
      <c r="N24"/>
      <c r="O24"/>
      <c r="P24"/>
      <c r="Q24"/>
      <c r="R24"/>
      <c r="S24"/>
    </row>
    <row r="25" spans="1:19" ht="18" customHeight="1" x14ac:dyDescent="0.3">
      <c r="A25" s="84" t="s">
        <v>49</v>
      </c>
      <c r="B25" s="88">
        <v>13</v>
      </c>
      <c r="C25" s="112">
        <v>1</v>
      </c>
      <c r="D25" s="88"/>
      <c r="E25" s="112">
        <v>0</v>
      </c>
      <c r="F25" s="88"/>
      <c r="G25" s="112">
        <v>0</v>
      </c>
      <c r="H25" s="88"/>
      <c r="I25" s="112">
        <v>0</v>
      </c>
      <c r="J25" s="88"/>
      <c r="K25" s="112">
        <v>0</v>
      </c>
      <c r="L25" s="88">
        <v>13</v>
      </c>
      <c r="M25" s="89">
        <v>1</v>
      </c>
      <c r="N25"/>
      <c r="O25"/>
      <c r="P25"/>
      <c r="Q25"/>
      <c r="R25"/>
      <c r="S25"/>
    </row>
    <row r="26" spans="1:19" ht="18" customHeight="1" x14ac:dyDescent="0.3">
      <c r="A26" s="84" t="s">
        <v>170</v>
      </c>
      <c r="B26" s="88">
        <v>3</v>
      </c>
      <c r="C26" s="112">
        <v>1</v>
      </c>
      <c r="D26" s="88"/>
      <c r="E26" s="112">
        <v>0</v>
      </c>
      <c r="F26" s="88"/>
      <c r="G26" s="112">
        <v>0</v>
      </c>
      <c r="H26" s="88"/>
      <c r="I26" s="112">
        <v>0</v>
      </c>
      <c r="J26" s="88"/>
      <c r="K26" s="112">
        <v>0</v>
      </c>
      <c r="L26" s="88">
        <v>3</v>
      </c>
      <c r="M26" s="89">
        <v>1</v>
      </c>
      <c r="N26"/>
      <c r="O26"/>
      <c r="P26"/>
      <c r="Q26"/>
      <c r="R26"/>
      <c r="S26"/>
    </row>
    <row r="27" spans="1:19" ht="18" customHeight="1" x14ac:dyDescent="0.3">
      <c r="A27" s="84" t="s">
        <v>155</v>
      </c>
      <c r="B27" s="88">
        <v>9</v>
      </c>
      <c r="C27" s="112">
        <v>1</v>
      </c>
      <c r="D27" s="88"/>
      <c r="E27" s="112">
        <v>0</v>
      </c>
      <c r="F27" s="88"/>
      <c r="G27" s="112">
        <v>0</v>
      </c>
      <c r="H27" s="88"/>
      <c r="I27" s="112">
        <v>0</v>
      </c>
      <c r="J27" s="88"/>
      <c r="K27" s="112">
        <v>0</v>
      </c>
      <c r="L27" s="88">
        <v>9</v>
      </c>
      <c r="M27" s="89">
        <v>1</v>
      </c>
      <c r="N27"/>
      <c r="O27"/>
      <c r="P27"/>
      <c r="Q27"/>
      <c r="R27"/>
      <c r="S27"/>
    </row>
    <row r="28" spans="1:19" ht="18" customHeight="1" x14ac:dyDescent="0.3">
      <c r="A28" s="84" t="s">
        <v>50</v>
      </c>
      <c r="B28" s="88">
        <v>8</v>
      </c>
      <c r="C28" s="98">
        <v>1</v>
      </c>
      <c r="D28" s="88"/>
      <c r="E28" s="112">
        <v>0</v>
      </c>
      <c r="F28" s="88"/>
      <c r="G28" s="112">
        <v>0</v>
      </c>
      <c r="H28" s="88"/>
      <c r="I28" s="98">
        <v>0</v>
      </c>
      <c r="J28" s="88"/>
      <c r="K28" s="112">
        <v>0</v>
      </c>
      <c r="L28" s="88">
        <v>8</v>
      </c>
      <c r="M28" s="89">
        <v>1</v>
      </c>
      <c r="N28"/>
      <c r="O28"/>
      <c r="P28"/>
      <c r="Q28"/>
      <c r="R28"/>
      <c r="S28"/>
    </row>
    <row r="29" spans="1:19" ht="18" customHeight="1" x14ac:dyDescent="0.3">
      <c r="A29" s="84" t="s">
        <v>52</v>
      </c>
      <c r="B29" s="88">
        <v>9</v>
      </c>
      <c r="C29" s="112">
        <v>1</v>
      </c>
      <c r="D29" s="88"/>
      <c r="E29" s="112">
        <v>0</v>
      </c>
      <c r="F29" s="88"/>
      <c r="G29" s="112">
        <v>0</v>
      </c>
      <c r="H29" s="88"/>
      <c r="I29" s="112">
        <v>0</v>
      </c>
      <c r="J29" s="88"/>
      <c r="K29" s="112">
        <v>0</v>
      </c>
      <c r="L29" s="88">
        <v>9</v>
      </c>
      <c r="M29" s="89">
        <v>1</v>
      </c>
      <c r="N29"/>
      <c r="O29"/>
      <c r="P29"/>
      <c r="Q29"/>
      <c r="R29"/>
      <c r="S29"/>
    </row>
    <row r="30" spans="1:19" ht="18" customHeight="1" x14ac:dyDescent="0.3">
      <c r="A30" s="84" t="s">
        <v>123</v>
      </c>
      <c r="B30" s="88">
        <v>10</v>
      </c>
      <c r="C30" s="112">
        <v>0.76923076923076927</v>
      </c>
      <c r="D30" s="88"/>
      <c r="E30" s="112">
        <v>0</v>
      </c>
      <c r="F30" s="88">
        <v>3</v>
      </c>
      <c r="G30" s="112">
        <v>0.23076923076923078</v>
      </c>
      <c r="H30" s="88"/>
      <c r="I30" s="112">
        <v>0</v>
      </c>
      <c r="J30" s="88"/>
      <c r="K30" s="112">
        <v>0</v>
      </c>
      <c r="L30" s="88">
        <v>13</v>
      </c>
      <c r="M30" s="89">
        <v>1</v>
      </c>
      <c r="N30"/>
      <c r="O30"/>
      <c r="P30"/>
      <c r="Q30"/>
      <c r="R30"/>
      <c r="S30"/>
    </row>
    <row r="31" spans="1:19" ht="18" customHeight="1" x14ac:dyDescent="0.3">
      <c r="A31" s="87" t="s">
        <v>11</v>
      </c>
      <c r="B31" s="88">
        <v>285</v>
      </c>
      <c r="C31" s="98">
        <v>0.93137254901960786</v>
      </c>
      <c r="D31" s="88">
        <v>8</v>
      </c>
      <c r="E31" s="98">
        <v>2.6143790849673203E-2</v>
      </c>
      <c r="F31" s="88">
        <v>6</v>
      </c>
      <c r="G31" s="98">
        <v>1.9607843137254902E-2</v>
      </c>
      <c r="H31" s="88">
        <v>1</v>
      </c>
      <c r="I31" s="98">
        <v>3.2679738562091504E-3</v>
      </c>
      <c r="J31" s="88">
        <v>6</v>
      </c>
      <c r="K31" s="98">
        <v>1.9607843137254902E-2</v>
      </c>
      <c r="L31" s="88">
        <v>306</v>
      </c>
      <c r="M31" s="89">
        <v>1</v>
      </c>
      <c r="N31"/>
      <c r="O31"/>
      <c r="P31"/>
      <c r="Q31"/>
      <c r="R31"/>
      <c r="S31"/>
    </row>
    <row r="32" spans="1:19" ht="18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25" ht="19.5" customHeight="1" x14ac:dyDescent="0.25">
      <c r="A33" s="65" t="s">
        <v>135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</row>
    <row r="34" spans="1:25" ht="18" hidden="1" customHeight="1" x14ac:dyDescent="0.3">
      <c r="A34" s="86" t="s">
        <v>53</v>
      </c>
      <c r="B34" s="87">
        <v>2025</v>
      </c>
      <c r="C34" s="63"/>
      <c r="D34" s="60"/>
      <c r="E34" s="63"/>
      <c r="F34" s="60"/>
      <c r="G34" s="63"/>
      <c r="H34" s="60"/>
      <c r="I34" s="63"/>
      <c r="J34" s="60"/>
      <c r="K34" s="63"/>
      <c r="L34" s="60"/>
      <c r="M34" s="62"/>
      <c r="N34" s="70"/>
      <c r="O34" s="70"/>
    </row>
    <row r="35" spans="1:25" ht="18" hidden="1" customHeight="1" x14ac:dyDescent="0.25">
      <c r="A35" s="86" t="s">
        <v>55</v>
      </c>
      <c r="B35" s="82" t="s">
        <v>77</v>
      </c>
    </row>
    <row r="36" spans="1:25" ht="22.5" customHeight="1" x14ac:dyDescent="0.25">
      <c r="A36" s="5"/>
      <c r="B36" s="64" t="s">
        <v>0</v>
      </c>
      <c r="C36" s="64"/>
      <c r="D36" s="64" t="s">
        <v>1</v>
      </c>
      <c r="E36" s="64"/>
      <c r="F36" s="64" t="s">
        <v>2</v>
      </c>
      <c r="G36" s="64"/>
      <c r="H36" s="64" t="s">
        <v>3</v>
      </c>
      <c r="I36" s="64"/>
      <c r="J36" s="64" t="s">
        <v>115</v>
      </c>
      <c r="K36" s="64"/>
      <c r="L36" s="5" t="s">
        <v>4</v>
      </c>
    </row>
    <row r="37" spans="1:25" ht="12.75" hidden="1" customHeight="1" x14ac:dyDescent="0.3">
      <c r="A37" s="82"/>
      <c r="B37" s="86" t="s">
        <v>5</v>
      </c>
      <c r="C37" s="98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/>
      <c r="O37"/>
      <c r="P37"/>
      <c r="Q37"/>
      <c r="R37"/>
      <c r="S37"/>
      <c r="T37" s="70"/>
      <c r="U37" s="70"/>
      <c r="V37" s="70"/>
      <c r="W37" s="70"/>
      <c r="X37" s="70"/>
      <c r="Y37" s="70"/>
    </row>
    <row r="38" spans="1:25" ht="12.75" hidden="1" customHeight="1" x14ac:dyDescent="0.3">
      <c r="A38" s="82"/>
      <c r="B38" s="83" t="s">
        <v>0</v>
      </c>
      <c r="C38" s="83"/>
      <c r="D38" s="84" t="s">
        <v>1</v>
      </c>
      <c r="E38" s="84"/>
      <c r="F38" s="85" t="s">
        <v>2</v>
      </c>
      <c r="G38" s="85"/>
      <c r="H38" s="84" t="s">
        <v>3</v>
      </c>
      <c r="I38" s="84"/>
      <c r="J38" s="82" t="s">
        <v>111</v>
      </c>
      <c r="K38" s="82"/>
      <c r="L38" s="82" t="s">
        <v>4</v>
      </c>
      <c r="M38" s="82" t="s">
        <v>6</v>
      </c>
      <c r="N38"/>
      <c r="O38"/>
      <c r="P38"/>
      <c r="Q38"/>
      <c r="R38"/>
      <c r="S38"/>
      <c r="T38" s="70"/>
      <c r="U38" s="70"/>
      <c r="V38" s="70"/>
      <c r="W38" s="70"/>
      <c r="X38" s="70"/>
      <c r="Y38" s="70"/>
    </row>
    <row r="39" spans="1:25" ht="15" customHeight="1" x14ac:dyDescent="0.3">
      <c r="A39" s="101" t="s">
        <v>5</v>
      </c>
      <c r="B39" s="101" t="s">
        <v>7</v>
      </c>
      <c r="C39" s="101" t="s">
        <v>8</v>
      </c>
      <c r="D39" s="101" t="s">
        <v>7</v>
      </c>
      <c r="E39" s="101" t="s">
        <v>8</v>
      </c>
      <c r="F39" s="101" t="s">
        <v>7</v>
      </c>
      <c r="G39" s="101" t="s">
        <v>8</v>
      </c>
      <c r="H39" s="101" t="s">
        <v>7</v>
      </c>
      <c r="I39" s="101" t="s">
        <v>8</v>
      </c>
      <c r="J39" s="101" t="s">
        <v>7</v>
      </c>
      <c r="K39" s="101" t="s">
        <v>8</v>
      </c>
      <c r="L39" s="101"/>
      <c r="M39" s="101"/>
      <c r="N39"/>
      <c r="O39"/>
      <c r="P39"/>
      <c r="Q39"/>
      <c r="R39"/>
      <c r="S39"/>
      <c r="T39" s="70"/>
      <c r="U39" s="70"/>
      <c r="V39" s="70"/>
      <c r="W39" s="70"/>
      <c r="X39" s="70"/>
      <c r="Y39" s="70"/>
    </row>
    <row r="40" spans="1:25" ht="15" customHeight="1" x14ac:dyDescent="0.3">
      <c r="A40" s="84" t="s">
        <v>40</v>
      </c>
      <c r="B40" s="102">
        <v>1188</v>
      </c>
      <c r="C40" s="98">
        <v>0.98019801980198018</v>
      </c>
      <c r="D40" s="88"/>
      <c r="E40" s="98">
        <v>0</v>
      </c>
      <c r="F40" s="88"/>
      <c r="G40" s="112">
        <v>0</v>
      </c>
      <c r="H40" s="88">
        <v>24</v>
      </c>
      <c r="I40" s="112">
        <v>1.9801980198019802E-2</v>
      </c>
      <c r="J40" s="88"/>
      <c r="K40" s="112">
        <v>0</v>
      </c>
      <c r="L40" s="102">
        <v>1212</v>
      </c>
      <c r="M40" s="89">
        <v>1</v>
      </c>
      <c r="N40"/>
      <c r="O40"/>
      <c r="P40"/>
      <c r="Q40"/>
      <c r="R40"/>
      <c r="S40"/>
      <c r="T40" s="70"/>
      <c r="U40" s="70"/>
      <c r="V40" s="70"/>
      <c r="W40" s="70"/>
      <c r="X40" s="70"/>
      <c r="Y40" s="70"/>
    </row>
    <row r="41" spans="1:25" ht="15" customHeight="1" x14ac:dyDescent="0.3">
      <c r="A41" s="84" t="s">
        <v>153</v>
      </c>
      <c r="B41" s="102">
        <v>88</v>
      </c>
      <c r="C41" s="112">
        <v>1</v>
      </c>
      <c r="D41" s="88"/>
      <c r="E41" s="112">
        <v>0</v>
      </c>
      <c r="F41" s="88"/>
      <c r="G41" s="112">
        <v>0</v>
      </c>
      <c r="H41" s="88"/>
      <c r="I41" s="112">
        <v>0</v>
      </c>
      <c r="J41" s="88"/>
      <c r="K41" s="112">
        <v>0</v>
      </c>
      <c r="L41" s="102">
        <v>88</v>
      </c>
      <c r="M41" s="89">
        <v>1</v>
      </c>
      <c r="N41"/>
      <c r="O41"/>
      <c r="P41"/>
      <c r="Q41"/>
      <c r="R41"/>
      <c r="S41"/>
      <c r="T41" s="70"/>
      <c r="U41" s="70"/>
      <c r="V41" s="70"/>
      <c r="W41" s="70"/>
      <c r="X41" s="70"/>
      <c r="Y41" s="70"/>
    </row>
    <row r="42" spans="1:25" ht="15" customHeight="1" x14ac:dyDescent="0.3">
      <c r="A42" s="84" t="s">
        <v>137</v>
      </c>
      <c r="B42" s="102">
        <v>552.75</v>
      </c>
      <c r="C42" s="112">
        <v>0.88439999999999996</v>
      </c>
      <c r="D42" s="88">
        <v>72.25</v>
      </c>
      <c r="E42" s="112">
        <v>0.11559999999999999</v>
      </c>
      <c r="F42" s="88"/>
      <c r="G42" s="112">
        <v>0</v>
      </c>
      <c r="H42" s="88"/>
      <c r="I42" s="112">
        <v>0</v>
      </c>
      <c r="J42" s="88"/>
      <c r="K42" s="112">
        <v>0</v>
      </c>
      <c r="L42" s="102">
        <v>625</v>
      </c>
      <c r="M42" s="89">
        <v>1</v>
      </c>
      <c r="N42"/>
      <c r="O42"/>
      <c r="P42"/>
      <c r="Q42"/>
      <c r="R42"/>
      <c r="S42"/>
      <c r="T42" s="70"/>
      <c r="U42" s="70"/>
      <c r="V42" s="70"/>
      <c r="W42" s="70"/>
      <c r="X42" s="70"/>
      <c r="Y42" s="70"/>
    </row>
    <row r="43" spans="1:25" ht="18" customHeight="1" x14ac:dyDescent="0.3">
      <c r="A43" s="84" t="s">
        <v>43</v>
      </c>
      <c r="B43" s="102">
        <v>717</v>
      </c>
      <c r="C43" s="112">
        <v>1</v>
      </c>
      <c r="D43" s="88"/>
      <c r="E43" s="112">
        <v>0</v>
      </c>
      <c r="F43" s="88"/>
      <c r="G43" s="112">
        <v>0</v>
      </c>
      <c r="H43" s="88"/>
      <c r="I43" s="112">
        <v>0</v>
      </c>
      <c r="J43" s="88"/>
      <c r="K43" s="112">
        <v>0</v>
      </c>
      <c r="L43" s="102">
        <v>717</v>
      </c>
      <c r="M43" s="89">
        <v>1</v>
      </c>
      <c r="N43"/>
      <c r="O43"/>
      <c r="P43"/>
      <c r="Q43"/>
      <c r="R43"/>
      <c r="S43"/>
    </row>
    <row r="44" spans="1:25" ht="18" customHeight="1" x14ac:dyDescent="0.3">
      <c r="A44" s="84" t="s">
        <v>45</v>
      </c>
      <c r="B44" s="102">
        <v>2542</v>
      </c>
      <c r="C44" s="98">
        <v>0.83618421052631575</v>
      </c>
      <c r="D44" s="88"/>
      <c r="E44" s="112">
        <v>0</v>
      </c>
      <c r="F44" s="88">
        <v>498</v>
      </c>
      <c r="G44" s="98">
        <v>0.16381578947368422</v>
      </c>
      <c r="H44" s="88"/>
      <c r="I44" s="112">
        <v>0</v>
      </c>
      <c r="J44" s="88"/>
      <c r="K44" s="112">
        <v>0</v>
      </c>
      <c r="L44" s="102">
        <v>3040</v>
      </c>
      <c r="M44" s="89">
        <v>1</v>
      </c>
      <c r="N44"/>
      <c r="O44"/>
      <c r="P44"/>
      <c r="Q44"/>
      <c r="R44"/>
      <c r="S44"/>
    </row>
    <row r="45" spans="1:25" ht="18" customHeight="1" x14ac:dyDescent="0.3">
      <c r="A45" s="84" t="s">
        <v>161</v>
      </c>
      <c r="B45" s="102">
        <v>6.5</v>
      </c>
      <c r="C45" s="112">
        <v>1</v>
      </c>
      <c r="D45" s="88"/>
      <c r="E45" s="112">
        <v>0</v>
      </c>
      <c r="F45" s="88"/>
      <c r="G45" s="112">
        <v>0</v>
      </c>
      <c r="H45" s="88"/>
      <c r="I45" s="112">
        <v>0</v>
      </c>
      <c r="J45" s="88"/>
      <c r="K45" s="112">
        <v>0</v>
      </c>
      <c r="L45" s="102">
        <v>6.5</v>
      </c>
      <c r="M45" s="89">
        <v>1</v>
      </c>
      <c r="N45"/>
      <c r="O45"/>
      <c r="P45"/>
      <c r="Q45"/>
      <c r="R45"/>
      <c r="S45"/>
    </row>
    <row r="46" spans="1:25" ht="18" customHeight="1" x14ac:dyDescent="0.3">
      <c r="A46" s="84" t="s">
        <v>124</v>
      </c>
      <c r="B46" s="102">
        <v>32</v>
      </c>
      <c r="C46" s="112">
        <v>1</v>
      </c>
      <c r="D46" s="88"/>
      <c r="E46" s="112">
        <v>0</v>
      </c>
      <c r="F46" s="88"/>
      <c r="G46" s="112">
        <v>0</v>
      </c>
      <c r="H46" s="88"/>
      <c r="I46" s="112">
        <v>0</v>
      </c>
      <c r="J46" s="88"/>
      <c r="K46" s="112">
        <v>0</v>
      </c>
      <c r="L46" s="102">
        <v>32</v>
      </c>
      <c r="M46" s="89">
        <v>1</v>
      </c>
      <c r="N46"/>
      <c r="O46"/>
      <c r="P46"/>
      <c r="Q46"/>
      <c r="R46"/>
      <c r="S46"/>
    </row>
    <row r="47" spans="1:25" ht="18" customHeight="1" x14ac:dyDescent="0.3">
      <c r="A47" s="84" t="s">
        <v>46</v>
      </c>
      <c r="B47" s="102">
        <v>641</v>
      </c>
      <c r="C47" s="98">
        <v>1</v>
      </c>
      <c r="D47" s="88"/>
      <c r="E47" s="98">
        <v>0</v>
      </c>
      <c r="F47" s="88"/>
      <c r="G47" s="112">
        <v>0</v>
      </c>
      <c r="H47" s="88"/>
      <c r="I47" s="112">
        <v>0</v>
      </c>
      <c r="J47" s="88"/>
      <c r="K47" s="112">
        <v>0</v>
      </c>
      <c r="L47" s="102">
        <v>641</v>
      </c>
      <c r="M47" s="89">
        <v>1</v>
      </c>
      <c r="N47"/>
      <c r="O47"/>
      <c r="P47"/>
      <c r="Q47"/>
      <c r="R47"/>
      <c r="S47"/>
    </row>
    <row r="48" spans="1:25" ht="18" customHeight="1" x14ac:dyDescent="0.3">
      <c r="A48" s="84" t="s">
        <v>143</v>
      </c>
      <c r="B48" s="102">
        <v>24</v>
      </c>
      <c r="C48" s="112">
        <v>1</v>
      </c>
      <c r="D48" s="88"/>
      <c r="E48" s="112">
        <v>0</v>
      </c>
      <c r="F48" s="88"/>
      <c r="G48" s="112">
        <v>0</v>
      </c>
      <c r="H48" s="88"/>
      <c r="I48" s="112">
        <v>0</v>
      </c>
      <c r="J48" s="88"/>
      <c r="K48" s="112">
        <v>0</v>
      </c>
      <c r="L48" s="102">
        <v>24</v>
      </c>
      <c r="M48" s="89">
        <v>1</v>
      </c>
      <c r="N48"/>
      <c r="O48"/>
      <c r="P48"/>
      <c r="Q48"/>
      <c r="R48"/>
      <c r="S48"/>
    </row>
    <row r="49" spans="1:19" ht="18" customHeight="1" x14ac:dyDescent="0.3">
      <c r="A49" s="84" t="s">
        <v>127</v>
      </c>
      <c r="B49" s="102">
        <v>104</v>
      </c>
      <c r="C49" s="112">
        <v>0.71724137931034482</v>
      </c>
      <c r="D49" s="88">
        <v>41</v>
      </c>
      <c r="E49" s="112">
        <v>0.28275862068965518</v>
      </c>
      <c r="F49" s="88"/>
      <c r="G49" s="112">
        <v>0</v>
      </c>
      <c r="H49" s="88"/>
      <c r="I49" s="112">
        <v>0</v>
      </c>
      <c r="J49" s="88"/>
      <c r="K49" s="112">
        <v>0</v>
      </c>
      <c r="L49" s="102">
        <v>145</v>
      </c>
      <c r="M49" s="89">
        <v>1</v>
      </c>
      <c r="N49"/>
      <c r="O49"/>
      <c r="P49"/>
      <c r="Q49"/>
      <c r="R49"/>
      <c r="S49"/>
    </row>
    <row r="50" spans="1:19" ht="18" customHeight="1" x14ac:dyDescent="0.3">
      <c r="A50" s="84" t="s">
        <v>140</v>
      </c>
      <c r="B50" s="102">
        <v>2599.5</v>
      </c>
      <c r="C50" s="112">
        <v>1</v>
      </c>
      <c r="D50" s="88"/>
      <c r="E50" s="112">
        <v>0</v>
      </c>
      <c r="F50" s="88"/>
      <c r="G50" s="112">
        <v>0</v>
      </c>
      <c r="H50" s="88"/>
      <c r="I50" s="112">
        <v>0</v>
      </c>
      <c r="J50" s="88"/>
      <c r="K50" s="112">
        <v>0</v>
      </c>
      <c r="L50" s="102">
        <v>2599.5</v>
      </c>
      <c r="M50" s="89">
        <v>1</v>
      </c>
      <c r="N50"/>
      <c r="O50"/>
      <c r="P50"/>
      <c r="Q50"/>
      <c r="R50"/>
      <c r="S50"/>
    </row>
    <row r="51" spans="1:19" ht="18" customHeight="1" x14ac:dyDescent="0.3">
      <c r="A51" s="84" t="s">
        <v>106</v>
      </c>
      <c r="B51" s="102">
        <v>18</v>
      </c>
      <c r="C51" s="112">
        <v>1</v>
      </c>
      <c r="D51" s="88"/>
      <c r="E51" s="112">
        <v>0</v>
      </c>
      <c r="F51" s="88"/>
      <c r="G51" s="112">
        <v>0</v>
      </c>
      <c r="H51" s="88"/>
      <c r="I51" s="112">
        <v>0</v>
      </c>
      <c r="J51" s="88"/>
      <c r="K51" s="112">
        <v>0</v>
      </c>
      <c r="L51" s="102">
        <v>18</v>
      </c>
      <c r="M51" s="89">
        <v>1</v>
      </c>
      <c r="N51"/>
      <c r="O51"/>
      <c r="P51"/>
      <c r="Q51"/>
      <c r="R51"/>
      <c r="S51"/>
    </row>
    <row r="52" spans="1:19" ht="18" customHeight="1" x14ac:dyDescent="0.3">
      <c r="A52" s="84" t="s">
        <v>47</v>
      </c>
      <c r="B52" s="102">
        <v>93</v>
      </c>
      <c r="C52" s="112">
        <v>1</v>
      </c>
      <c r="D52" s="88"/>
      <c r="E52" s="112">
        <v>0</v>
      </c>
      <c r="F52" s="88"/>
      <c r="G52" s="112">
        <v>0</v>
      </c>
      <c r="H52" s="88"/>
      <c r="I52" s="112">
        <v>0</v>
      </c>
      <c r="J52" s="88"/>
      <c r="K52" s="112">
        <v>0</v>
      </c>
      <c r="L52" s="102">
        <v>93</v>
      </c>
      <c r="M52" s="89">
        <v>1</v>
      </c>
      <c r="N52"/>
      <c r="O52"/>
      <c r="P52"/>
      <c r="Q52"/>
      <c r="R52"/>
      <c r="S52"/>
    </row>
    <row r="53" spans="1:19" ht="18" customHeight="1" x14ac:dyDescent="0.3">
      <c r="A53" s="84" t="s">
        <v>162</v>
      </c>
      <c r="B53" s="102">
        <v>24</v>
      </c>
      <c r="C53" s="112">
        <v>1</v>
      </c>
      <c r="D53" s="88"/>
      <c r="E53" s="112">
        <v>0</v>
      </c>
      <c r="F53" s="88"/>
      <c r="G53" s="112">
        <v>0</v>
      </c>
      <c r="H53" s="88"/>
      <c r="I53" s="112">
        <v>0</v>
      </c>
      <c r="J53" s="88"/>
      <c r="K53" s="112">
        <v>0</v>
      </c>
      <c r="L53" s="102">
        <v>24</v>
      </c>
      <c r="M53" s="89">
        <v>1</v>
      </c>
      <c r="N53"/>
      <c r="O53"/>
      <c r="P53"/>
      <c r="Q53"/>
      <c r="R53"/>
      <c r="S53"/>
    </row>
    <row r="54" spans="1:19" ht="18" customHeight="1" x14ac:dyDescent="0.3">
      <c r="A54" s="84" t="s">
        <v>112</v>
      </c>
      <c r="B54" s="102">
        <v>919</v>
      </c>
      <c r="C54" s="98">
        <v>0.5581536592772548</v>
      </c>
      <c r="D54" s="88"/>
      <c r="E54" s="112">
        <v>0</v>
      </c>
      <c r="F54" s="88"/>
      <c r="G54" s="112">
        <v>0</v>
      </c>
      <c r="H54" s="88"/>
      <c r="I54" s="112">
        <v>0</v>
      </c>
      <c r="J54" s="88">
        <v>727.5</v>
      </c>
      <c r="K54" s="98">
        <v>0.4418463407227452</v>
      </c>
      <c r="L54" s="102">
        <v>1646.5</v>
      </c>
      <c r="M54" s="89">
        <v>1</v>
      </c>
      <c r="N54"/>
      <c r="O54"/>
      <c r="P54"/>
      <c r="Q54"/>
      <c r="R54"/>
      <c r="S54"/>
    </row>
    <row r="55" spans="1:19" ht="18" customHeight="1" x14ac:dyDescent="0.3">
      <c r="A55" s="84" t="s">
        <v>150</v>
      </c>
      <c r="B55" s="102">
        <v>520</v>
      </c>
      <c r="C55" s="112">
        <v>1</v>
      </c>
      <c r="D55" s="88"/>
      <c r="E55" s="112">
        <v>0</v>
      </c>
      <c r="F55" s="88"/>
      <c r="G55" s="112">
        <v>0</v>
      </c>
      <c r="H55" s="88"/>
      <c r="I55" s="112">
        <v>0</v>
      </c>
      <c r="J55" s="88"/>
      <c r="K55" s="112">
        <v>0</v>
      </c>
      <c r="L55" s="102">
        <v>520</v>
      </c>
      <c r="M55" s="89">
        <v>1</v>
      </c>
      <c r="N55"/>
      <c r="O55"/>
      <c r="P55"/>
      <c r="Q55"/>
      <c r="R55"/>
      <c r="S55"/>
    </row>
    <row r="56" spans="1:19" ht="18" customHeight="1" x14ac:dyDescent="0.3">
      <c r="A56" s="84" t="s">
        <v>48</v>
      </c>
      <c r="B56" s="102">
        <v>7724.5</v>
      </c>
      <c r="C56" s="98">
        <v>0.9164738684226138</v>
      </c>
      <c r="D56" s="88">
        <v>704</v>
      </c>
      <c r="E56" s="98">
        <v>8.3526131577386253E-2</v>
      </c>
      <c r="F56" s="88"/>
      <c r="G56" s="112">
        <v>0</v>
      </c>
      <c r="H56" s="88"/>
      <c r="I56" s="112">
        <v>0</v>
      </c>
      <c r="J56" s="88"/>
      <c r="K56" s="112">
        <v>0</v>
      </c>
      <c r="L56" s="102">
        <v>8428.5</v>
      </c>
      <c r="M56" s="89">
        <v>1</v>
      </c>
      <c r="N56"/>
      <c r="O56"/>
      <c r="P56"/>
      <c r="Q56"/>
      <c r="R56"/>
      <c r="S56"/>
    </row>
    <row r="57" spans="1:19" ht="18" customHeight="1" x14ac:dyDescent="0.3">
      <c r="A57" s="84" t="s">
        <v>49</v>
      </c>
      <c r="B57" s="102">
        <v>948</v>
      </c>
      <c r="C57" s="112">
        <v>1</v>
      </c>
      <c r="D57" s="88"/>
      <c r="E57" s="112">
        <v>0</v>
      </c>
      <c r="F57" s="88"/>
      <c r="G57" s="112">
        <v>0</v>
      </c>
      <c r="H57" s="88"/>
      <c r="I57" s="112">
        <v>0</v>
      </c>
      <c r="J57" s="88"/>
      <c r="K57" s="112">
        <v>0</v>
      </c>
      <c r="L57" s="102">
        <v>948</v>
      </c>
      <c r="M57" s="89">
        <v>1</v>
      </c>
      <c r="N57"/>
      <c r="O57"/>
      <c r="P57"/>
      <c r="Q57"/>
      <c r="R57"/>
      <c r="S57"/>
    </row>
    <row r="58" spans="1:19" ht="18" customHeight="1" x14ac:dyDescent="0.3">
      <c r="A58" s="84" t="s">
        <v>170</v>
      </c>
      <c r="B58" s="102">
        <v>40</v>
      </c>
      <c r="C58" s="112">
        <v>1</v>
      </c>
      <c r="D58" s="88"/>
      <c r="E58" s="112">
        <v>0</v>
      </c>
      <c r="F58" s="88"/>
      <c r="G58" s="112">
        <v>0</v>
      </c>
      <c r="H58" s="88"/>
      <c r="I58" s="112">
        <v>0</v>
      </c>
      <c r="J58" s="88"/>
      <c r="K58" s="112">
        <v>0</v>
      </c>
      <c r="L58" s="102">
        <v>40</v>
      </c>
      <c r="M58" s="89">
        <v>1</v>
      </c>
      <c r="N58"/>
      <c r="O58"/>
      <c r="P58"/>
      <c r="Q58"/>
      <c r="R58"/>
      <c r="S58"/>
    </row>
    <row r="59" spans="1:19" ht="18" customHeight="1" x14ac:dyDescent="0.3">
      <c r="A59" s="84" t="s">
        <v>155</v>
      </c>
      <c r="B59" s="102">
        <v>216</v>
      </c>
      <c r="C59" s="112">
        <v>1</v>
      </c>
      <c r="D59" s="88"/>
      <c r="E59" s="112">
        <v>0</v>
      </c>
      <c r="F59" s="88"/>
      <c r="G59" s="112">
        <v>0</v>
      </c>
      <c r="H59" s="88"/>
      <c r="I59" s="112">
        <v>0</v>
      </c>
      <c r="J59" s="88"/>
      <c r="K59" s="112">
        <v>0</v>
      </c>
      <c r="L59" s="102">
        <v>216</v>
      </c>
      <c r="M59" s="89">
        <v>1</v>
      </c>
      <c r="N59"/>
      <c r="O59"/>
      <c r="P59"/>
      <c r="Q59"/>
      <c r="R59"/>
      <c r="S59"/>
    </row>
    <row r="60" spans="1:19" ht="18" customHeight="1" x14ac:dyDescent="0.3">
      <c r="A60" s="84" t="s">
        <v>50</v>
      </c>
      <c r="B60" s="102">
        <v>48.22</v>
      </c>
      <c r="C60" s="98">
        <v>1</v>
      </c>
      <c r="D60" s="88"/>
      <c r="E60" s="112">
        <v>0</v>
      </c>
      <c r="F60" s="88"/>
      <c r="G60" s="112">
        <v>0</v>
      </c>
      <c r="H60" s="88"/>
      <c r="I60" s="98">
        <v>0</v>
      </c>
      <c r="J60" s="88"/>
      <c r="K60" s="112">
        <v>0</v>
      </c>
      <c r="L60" s="102">
        <v>48.22</v>
      </c>
      <c r="M60" s="89">
        <v>1</v>
      </c>
      <c r="N60"/>
      <c r="O60"/>
      <c r="P60"/>
      <c r="Q60"/>
      <c r="R60"/>
      <c r="S60"/>
    </row>
    <row r="61" spans="1:19" ht="18" customHeight="1" x14ac:dyDescent="0.3">
      <c r="A61" s="84" t="s">
        <v>52</v>
      </c>
      <c r="B61" s="102">
        <v>484.5</v>
      </c>
      <c r="C61" s="112">
        <v>1</v>
      </c>
      <c r="D61" s="88"/>
      <c r="E61" s="112">
        <v>0</v>
      </c>
      <c r="F61" s="88"/>
      <c r="G61" s="112">
        <v>0</v>
      </c>
      <c r="H61" s="88"/>
      <c r="I61" s="112">
        <v>0</v>
      </c>
      <c r="J61" s="88"/>
      <c r="K61" s="112">
        <v>0</v>
      </c>
      <c r="L61" s="102">
        <v>484.5</v>
      </c>
      <c r="M61" s="89">
        <v>1</v>
      </c>
      <c r="N61"/>
      <c r="O61"/>
      <c r="P61"/>
      <c r="Q61"/>
      <c r="R61"/>
      <c r="S61"/>
    </row>
    <row r="62" spans="1:19" ht="18" customHeight="1" x14ac:dyDescent="0.3">
      <c r="A62" s="84" t="s">
        <v>123</v>
      </c>
      <c r="B62" s="102">
        <v>853</v>
      </c>
      <c r="C62" s="112">
        <v>0.87667009249743066</v>
      </c>
      <c r="D62" s="88"/>
      <c r="E62" s="112">
        <v>0</v>
      </c>
      <c r="F62" s="88">
        <v>120</v>
      </c>
      <c r="G62" s="112">
        <v>0.12332990750256938</v>
      </c>
      <c r="H62" s="88"/>
      <c r="I62" s="112">
        <v>0</v>
      </c>
      <c r="J62" s="88"/>
      <c r="K62" s="112">
        <v>0</v>
      </c>
      <c r="L62" s="102">
        <v>973</v>
      </c>
      <c r="M62" s="89">
        <v>1</v>
      </c>
      <c r="N62"/>
      <c r="O62"/>
      <c r="P62"/>
      <c r="Q62"/>
      <c r="R62"/>
      <c r="S62"/>
    </row>
    <row r="63" spans="1:19" ht="18" customHeight="1" x14ac:dyDescent="0.3">
      <c r="A63" s="87" t="s">
        <v>11</v>
      </c>
      <c r="B63" s="102">
        <v>20382.97</v>
      </c>
      <c r="C63" s="98">
        <v>0.90311133678220201</v>
      </c>
      <c r="D63" s="88">
        <v>817.25</v>
      </c>
      <c r="E63" s="98">
        <v>3.6210019441978013E-2</v>
      </c>
      <c r="F63" s="88">
        <v>618</v>
      </c>
      <c r="G63" s="98">
        <v>2.7381819535200257E-2</v>
      </c>
      <c r="H63" s="88">
        <v>24</v>
      </c>
      <c r="I63" s="98">
        <v>1.0633716324349614E-3</v>
      </c>
      <c r="J63" s="88">
        <v>727.5</v>
      </c>
      <c r="K63" s="98">
        <v>3.2233452608184769E-2</v>
      </c>
      <c r="L63" s="102">
        <v>22569.72</v>
      </c>
      <c r="M63" s="89">
        <v>1</v>
      </c>
      <c r="N63"/>
      <c r="O63"/>
      <c r="P63"/>
      <c r="Q63"/>
      <c r="R63"/>
      <c r="S63"/>
    </row>
    <row r="64" spans="1:19" ht="18" customHeigh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ht="18" customHeigh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8" customHeigh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8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8" customHeigh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t="18" customHeight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t="18" customHeigh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t="18" customHeight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ht="18" customHeigh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ht="18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ht="18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ht="18" customHeight="1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ht="18" customHeigh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ht="18" customHeigh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ht="18" customHeigh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ht="18" customHeigh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9" ht="18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8" customHeigh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8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8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8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8" customHeigh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8" customHeigh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8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8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8" customHeigh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8" customHeigh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8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8" customHeigh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8" customHeigh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8" customHeigh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8" customHeight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8" customHeigh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8" customHeight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8" customHeigh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8" customHeight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8" customHeigh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8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8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8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8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8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8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8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8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8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8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8" customHeigh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8" customHeigh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8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8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8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8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8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8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8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8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8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8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8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8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8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8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8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8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8" customHeight="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8" customHeigh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8" customHeight="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8" customHeigh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8" customHeight="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8" customHeigh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8" customHeight="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8" customHeigh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8" customHeight="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8" customHeigh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8" customHeigh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8" customHeigh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8" customHeight="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8" customHeigh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8" customHeight="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8" customHeigh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8" customHeight="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8" customHeight="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8" customHeight="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8" customHeight="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8" customHeight="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8" customHeigh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8" customHeigh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8" customHeigh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8" customHeigh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8" customHeigh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8" customHeigh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8" customHeigh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8" customHeigh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8" customHeigh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8" customHeigh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8" customHeigh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8" customHeigh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8" customHeigh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8" customHeigh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8" customHeigh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8" customHeigh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8" customHeigh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8" customHeigh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8" customHeigh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8" customHeigh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8" customHeigh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ht="18" customHeigh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ht="18" customHeigh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ht="18" customHeigh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ht="18" customHeigh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ht="18" customHeigh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ht="18" customHeigh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8" customHeigh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8" customHeigh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8" customHeigh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8" customHeigh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8" customHeigh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8" customHeigh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ht="18" customHeigh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ht="18" customHeigh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ht="18" customHeigh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ht="18" customHeigh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ht="18" customHeigh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ht="18" customHeigh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ht="18" customHeigh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ht="18" customHeigh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ht="18" customHeigh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ht="18" customHeigh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ht="18" customHeigh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ht="18" customHeigh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ht="18" customHeigh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ht="18" customHeigh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ht="18" customHeigh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ht="18" customHeigh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ht="18" customHeigh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ht="18" customHeigh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ht="18" customHeigh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ht="18" customHeigh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ht="18" customHeigh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ht="18" customHeigh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ht="18" customHeigh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ht="18" customHeigh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ht="18" customHeigh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ht="18" customHeigh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ht="18" customHeigh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ht="18" customHeigh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ht="18" customHeigh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ht="18" customHeigh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ht="18" customHeigh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ht="18" customHeigh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ht="18" customHeigh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ht="18" customHeigh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ht="18" customHeigh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ht="18" customHeigh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ht="18" customHeigh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ht="18" customHeigh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ht="18" customHeigh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ht="18" customHeigh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ht="18" customHeigh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ht="18" customHeigh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ht="18" customHeigh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ht="18" customHeigh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8" customHeigh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8" customHeigh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8" customHeigh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8" customHeigh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8" customHeigh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8" customHeigh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8" customHeigh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8" customHeigh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8" customHeigh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8" customHeigh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8" customHeigh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8" customHeigh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8" customHeigh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8" customHeigh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8" customHeigh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8" customHeigh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8" customHeigh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8" customHeigh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8" customHeigh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8" customHeigh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8" customHeigh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8" customHeigh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8" customHeigh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8" customHeigh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8" customHeigh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8" customHeigh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8" customHeigh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8" customHeigh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8" customHeigh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8" customHeigh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8" customHeigh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8" customHeigh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8" customHeigh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8" customHeigh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8" customHeigh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8" customHeigh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8" customHeigh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8" customHeigh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8" customHeigh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8" customHeigh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8" customHeigh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</sheetData>
  <mergeCells count="11">
    <mergeCell ref="B36:C36"/>
    <mergeCell ref="D36:E36"/>
    <mergeCell ref="F36:G36"/>
    <mergeCell ref="H36:I36"/>
    <mergeCell ref="J36:K36"/>
    <mergeCell ref="A1:L1"/>
    <mergeCell ref="B4:C4"/>
    <mergeCell ref="D4:E4"/>
    <mergeCell ref="F4:G4"/>
    <mergeCell ref="H4:I4"/>
    <mergeCell ref="A33:L33"/>
  </mergeCells>
  <printOptions horizontalCentered="1"/>
  <pageMargins left="0.7" right="0.7" top="0.75" bottom="0.75" header="0.3" footer="0.3"/>
  <pageSetup scale="49" orientation="portrait" r:id="rId3"/>
  <colBreaks count="1" manualBreakCount="1">
    <brk id="12" max="1048575" man="1"/>
  </colBreaks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B11-5C41-4A13-8FD2-E7FD5393D551}">
  <sheetPr>
    <pageSetUpPr fitToPage="1"/>
  </sheetPr>
  <dimension ref="A1:Y134"/>
  <sheetViews>
    <sheetView view="pageBreakPreview" zoomScale="74" zoomScaleNormal="100" zoomScaleSheetLayoutView="74" zoomScalePageLayoutView="110" workbookViewId="0">
      <selection sqref="A1:L1"/>
    </sheetView>
  </sheetViews>
  <sheetFormatPr defaultColWidth="9.109375" defaultRowHeight="18" customHeight="1" x14ac:dyDescent="0.25"/>
  <cols>
    <col min="1" max="1" width="29.88671875" style="4" customWidth="1"/>
    <col min="2" max="2" width="13.77734375" style="4" customWidth="1"/>
    <col min="3" max="3" width="13.77734375" style="7" customWidth="1"/>
    <col min="4" max="4" width="13.77734375" style="4" customWidth="1"/>
    <col min="5" max="5" width="13.77734375" style="7" customWidth="1"/>
    <col min="6" max="6" width="13.77734375" style="4" customWidth="1"/>
    <col min="7" max="7" width="13.77734375" style="7" customWidth="1"/>
    <col min="8" max="8" width="13.77734375" style="4" customWidth="1"/>
    <col min="9" max="9" width="13.77734375" style="7" customWidth="1"/>
    <col min="10" max="10" width="13.77734375" style="4" customWidth="1"/>
    <col min="11" max="11" width="13.77734375" style="6" customWidth="1"/>
    <col min="12" max="12" width="13.77734375" style="4" customWidth="1"/>
    <col min="13" max="13" width="29.21875" style="4" hidden="1" customWidth="1"/>
    <col min="14" max="16384" width="9.109375" style="4"/>
  </cols>
  <sheetData>
    <row r="1" spans="1:15" ht="19.5" customHeight="1" x14ac:dyDescent="0.25">
      <c r="A1" s="65" t="s">
        <v>136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5" ht="22.5" customHeight="1" x14ac:dyDescent="0.25">
      <c r="A2" s="5"/>
      <c r="B2" s="64" t="s">
        <v>0</v>
      </c>
      <c r="C2" s="64"/>
      <c r="D2" s="64" t="s">
        <v>1</v>
      </c>
      <c r="E2" s="64"/>
      <c r="F2" s="64" t="s">
        <v>2</v>
      </c>
      <c r="G2" s="64"/>
      <c r="H2" s="64" t="s">
        <v>3</v>
      </c>
      <c r="I2" s="64"/>
      <c r="J2" s="54" t="s">
        <v>115</v>
      </c>
      <c r="K2" s="54"/>
      <c r="L2" s="5" t="s">
        <v>4</v>
      </c>
    </row>
    <row r="3" spans="1:15" ht="12.75" hidden="1" customHeight="1" x14ac:dyDescent="0.3">
      <c r="A3" s="82"/>
      <c r="B3" s="86" t="s">
        <v>5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/>
      <c r="O3"/>
    </row>
    <row r="4" spans="1:15" ht="12.75" hidden="1" customHeight="1" x14ac:dyDescent="0.3">
      <c r="A4" s="82"/>
      <c r="B4" s="85" t="s">
        <v>0</v>
      </c>
      <c r="C4" s="85"/>
      <c r="D4" s="84" t="s">
        <v>1</v>
      </c>
      <c r="E4" s="84"/>
      <c r="F4" s="85" t="s">
        <v>2</v>
      </c>
      <c r="G4" s="85"/>
      <c r="H4" s="84" t="s">
        <v>3</v>
      </c>
      <c r="I4" s="84"/>
      <c r="J4" s="82" t="s">
        <v>111</v>
      </c>
      <c r="K4" s="82"/>
      <c r="L4" s="82" t="s">
        <v>4</v>
      </c>
      <c r="M4" s="82" t="s">
        <v>6</v>
      </c>
      <c r="N4"/>
      <c r="O4"/>
    </row>
    <row r="5" spans="1:15" ht="15" customHeight="1" x14ac:dyDescent="0.3">
      <c r="A5" s="101" t="s">
        <v>5</v>
      </c>
      <c r="B5" s="101" t="s">
        <v>7</v>
      </c>
      <c r="C5" s="101" t="s">
        <v>8</v>
      </c>
      <c r="D5" s="101" t="s">
        <v>7</v>
      </c>
      <c r="E5" s="101" t="s">
        <v>8</v>
      </c>
      <c r="F5" s="101" t="s">
        <v>7</v>
      </c>
      <c r="G5" s="101" t="s">
        <v>8</v>
      </c>
      <c r="H5" s="101" t="s">
        <v>7</v>
      </c>
      <c r="I5" s="101" t="s">
        <v>8</v>
      </c>
      <c r="J5" s="100" t="s">
        <v>7</v>
      </c>
      <c r="K5" s="100" t="s">
        <v>8</v>
      </c>
      <c r="L5" s="101"/>
      <c r="M5" s="101"/>
      <c r="N5"/>
      <c r="O5"/>
    </row>
    <row r="6" spans="1:15" ht="15" customHeight="1" x14ac:dyDescent="0.3">
      <c r="A6" s="84" t="s">
        <v>39</v>
      </c>
      <c r="B6" s="88">
        <v>10</v>
      </c>
      <c r="C6" s="112">
        <v>1</v>
      </c>
      <c r="D6" s="88"/>
      <c r="E6" s="112">
        <v>0</v>
      </c>
      <c r="F6" s="88"/>
      <c r="G6" s="112">
        <v>0</v>
      </c>
      <c r="H6" s="88"/>
      <c r="I6" s="112">
        <v>0</v>
      </c>
      <c r="J6" s="88"/>
      <c r="K6" s="112">
        <v>0</v>
      </c>
      <c r="L6" s="88">
        <v>10</v>
      </c>
      <c r="M6" s="89">
        <v>1</v>
      </c>
      <c r="N6"/>
      <c r="O6"/>
    </row>
    <row r="7" spans="1:15" ht="15" customHeight="1" x14ac:dyDescent="0.3">
      <c r="A7" s="84" t="s">
        <v>40</v>
      </c>
      <c r="B7" s="88">
        <v>58</v>
      </c>
      <c r="C7" s="98">
        <v>0.95081967213114749</v>
      </c>
      <c r="D7" s="88">
        <v>1</v>
      </c>
      <c r="E7" s="98">
        <v>1.6393442622950821E-2</v>
      </c>
      <c r="F7" s="88">
        <v>1</v>
      </c>
      <c r="G7" s="112">
        <v>1.6393442622950821E-2</v>
      </c>
      <c r="H7" s="88">
        <v>1</v>
      </c>
      <c r="I7" s="112">
        <v>1.6393442622950821E-2</v>
      </c>
      <c r="J7" s="88"/>
      <c r="K7" s="112">
        <v>0</v>
      </c>
      <c r="L7" s="88">
        <v>61</v>
      </c>
      <c r="M7" s="89">
        <v>1</v>
      </c>
      <c r="N7"/>
      <c r="O7"/>
    </row>
    <row r="8" spans="1:15" ht="15" customHeight="1" x14ac:dyDescent="0.3">
      <c r="A8" s="84" t="s">
        <v>153</v>
      </c>
      <c r="B8" s="88">
        <v>12</v>
      </c>
      <c r="C8" s="112">
        <v>1</v>
      </c>
      <c r="D8" s="88"/>
      <c r="E8" s="112">
        <v>0</v>
      </c>
      <c r="F8" s="88"/>
      <c r="G8" s="112">
        <v>0</v>
      </c>
      <c r="H8" s="88"/>
      <c r="I8" s="112">
        <v>0</v>
      </c>
      <c r="J8" s="88"/>
      <c r="K8" s="112">
        <v>0</v>
      </c>
      <c r="L8" s="88">
        <v>12</v>
      </c>
      <c r="M8" s="89">
        <v>1</v>
      </c>
      <c r="N8"/>
      <c r="O8"/>
    </row>
    <row r="9" spans="1:15" ht="18" customHeight="1" x14ac:dyDescent="0.3">
      <c r="A9" s="84" t="s">
        <v>41</v>
      </c>
      <c r="B9" s="88">
        <v>39</v>
      </c>
      <c r="C9" s="98">
        <v>0.9285714285714286</v>
      </c>
      <c r="D9" s="88">
        <v>3</v>
      </c>
      <c r="E9" s="98">
        <v>7.1428571428571425E-2</v>
      </c>
      <c r="F9" s="88"/>
      <c r="G9" s="112">
        <v>0</v>
      </c>
      <c r="H9" s="88"/>
      <c r="I9" s="112">
        <v>0</v>
      </c>
      <c r="J9" s="88"/>
      <c r="K9" s="112">
        <v>0</v>
      </c>
      <c r="L9" s="88">
        <v>42</v>
      </c>
      <c r="M9" s="89">
        <v>1</v>
      </c>
      <c r="N9"/>
      <c r="O9"/>
    </row>
    <row r="10" spans="1:15" ht="18" customHeight="1" x14ac:dyDescent="0.3">
      <c r="A10" s="84" t="s">
        <v>42</v>
      </c>
      <c r="B10" s="88">
        <v>3</v>
      </c>
      <c r="C10" s="112">
        <v>1</v>
      </c>
      <c r="D10" s="88"/>
      <c r="E10" s="112">
        <v>0</v>
      </c>
      <c r="F10" s="88"/>
      <c r="G10" s="112">
        <v>0</v>
      </c>
      <c r="H10" s="88"/>
      <c r="I10" s="112">
        <v>0</v>
      </c>
      <c r="J10" s="88"/>
      <c r="K10" s="112">
        <v>0</v>
      </c>
      <c r="L10" s="88">
        <v>3</v>
      </c>
      <c r="M10" s="89">
        <v>1</v>
      </c>
      <c r="N10"/>
      <c r="O10"/>
    </row>
    <row r="11" spans="1:15" ht="18" customHeight="1" x14ac:dyDescent="0.3">
      <c r="A11" s="84" t="s">
        <v>137</v>
      </c>
      <c r="B11" s="88">
        <v>21</v>
      </c>
      <c r="C11" s="112">
        <v>0.91304347826086951</v>
      </c>
      <c r="D11" s="88">
        <v>2</v>
      </c>
      <c r="E11" s="112">
        <v>8.6956521739130432E-2</v>
      </c>
      <c r="F11" s="88"/>
      <c r="G11" s="112">
        <v>0</v>
      </c>
      <c r="H11" s="88"/>
      <c r="I11" s="112">
        <v>0</v>
      </c>
      <c r="J11" s="88"/>
      <c r="K11" s="112">
        <v>0</v>
      </c>
      <c r="L11" s="88">
        <v>23</v>
      </c>
      <c r="M11" s="89">
        <v>1</v>
      </c>
      <c r="N11"/>
      <c r="O11"/>
    </row>
    <row r="12" spans="1:15" ht="18" customHeight="1" x14ac:dyDescent="0.3">
      <c r="A12" s="84" t="s">
        <v>43</v>
      </c>
      <c r="B12" s="88">
        <v>79</v>
      </c>
      <c r="C12" s="112">
        <v>1</v>
      </c>
      <c r="D12" s="88"/>
      <c r="E12" s="112">
        <v>0</v>
      </c>
      <c r="F12" s="88"/>
      <c r="G12" s="112">
        <v>0</v>
      </c>
      <c r="H12" s="88"/>
      <c r="I12" s="112">
        <v>0</v>
      </c>
      <c r="J12" s="88"/>
      <c r="K12" s="112">
        <v>0</v>
      </c>
      <c r="L12" s="88">
        <v>79</v>
      </c>
      <c r="M12" s="89">
        <v>1</v>
      </c>
      <c r="N12"/>
      <c r="O12"/>
    </row>
    <row r="13" spans="1:15" ht="18" customHeight="1" x14ac:dyDescent="0.3">
      <c r="A13" s="84" t="s">
        <v>44</v>
      </c>
      <c r="B13" s="88">
        <v>71</v>
      </c>
      <c r="C13" s="98">
        <v>0.93421052631578949</v>
      </c>
      <c r="D13" s="88"/>
      <c r="E13" s="112">
        <v>0</v>
      </c>
      <c r="F13" s="88">
        <v>5</v>
      </c>
      <c r="G13" s="98">
        <v>6.5789473684210523E-2</v>
      </c>
      <c r="H13" s="88"/>
      <c r="I13" s="112">
        <v>0</v>
      </c>
      <c r="J13" s="88"/>
      <c r="K13" s="112">
        <v>0</v>
      </c>
      <c r="L13" s="88">
        <v>76</v>
      </c>
      <c r="M13" s="89">
        <v>1</v>
      </c>
      <c r="N13"/>
      <c r="O13"/>
    </row>
    <row r="14" spans="1:15" ht="18" customHeight="1" x14ac:dyDescent="0.3">
      <c r="A14" s="84" t="s">
        <v>45</v>
      </c>
      <c r="B14" s="88">
        <v>148</v>
      </c>
      <c r="C14" s="98">
        <v>0.9135802469135802</v>
      </c>
      <c r="D14" s="88"/>
      <c r="E14" s="112">
        <v>0</v>
      </c>
      <c r="F14" s="88">
        <v>14</v>
      </c>
      <c r="G14" s="98">
        <v>8.6419753086419748E-2</v>
      </c>
      <c r="H14" s="88"/>
      <c r="I14" s="112">
        <v>0</v>
      </c>
      <c r="J14" s="88"/>
      <c r="K14" s="112">
        <v>0</v>
      </c>
      <c r="L14" s="88">
        <v>162</v>
      </c>
      <c r="M14" s="89">
        <v>1</v>
      </c>
      <c r="N14"/>
      <c r="O14"/>
    </row>
    <row r="15" spans="1:15" ht="18" customHeight="1" x14ac:dyDescent="0.3">
      <c r="A15" s="84" t="s">
        <v>161</v>
      </c>
      <c r="B15" s="88">
        <v>1</v>
      </c>
      <c r="C15" s="112">
        <v>1</v>
      </c>
      <c r="D15" s="88"/>
      <c r="E15" s="112">
        <v>0</v>
      </c>
      <c r="F15" s="88"/>
      <c r="G15" s="112">
        <v>0</v>
      </c>
      <c r="H15" s="88"/>
      <c r="I15" s="112">
        <v>0</v>
      </c>
      <c r="J15" s="88"/>
      <c r="K15" s="112">
        <v>0</v>
      </c>
      <c r="L15" s="88">
        <v>1</v>
      </c>
      <c r="M15" s="89">
        <v>1</v>
      </c>
      <c r="N15"/>
      <c r="O15"/>
    </row>
    <row r="16" spans="1:15" ht="18" customHeight="1" x14ac:dyDescent="0.3">
      <c r="A16" s="84" t="s">
        <v>124</v>
      </c>
      <c r="B16" s="88">
        <v>61</v>
      </c>
      <c r="C16" s="112">
        <v>1</v>
      </c>
      <c r="D16" s="88"/>
      <c r="E16" s="112">
        <v>0</v>
      </c>
      <c r="F16" s="88"/>
      <c r="G16" s="112">
        <v>0</v>
      </c>
      <c r="H16" s="88"/>
      <c r="I16" s="112">
        <v>0</v>
      </c>
      <c r="J16" s="88"/>
      <c r="K16" s="112">
        <v>0</v>
      </c>
      <c r="L16" s="88">
        <v>61</v>
      </c>
      <c r="M16" s="89">
        <v>1</v>
      </c>
      <c r="N16"/>
      <c r="O16"/>
    </row>
    <row r="17" spans="1:15" ht="18" customHeight="1" x14ac:dyDescent="0.3">
      <c r="A17" s="84" t="s">
        <v>102</v>
      </c>
      <c r="B17" s="88">
        <v>6</v>
      </c>
      <c r="C17" s="112">
        <v>1</v>
      </c>
      <c r="D17" s="88"/>
      <c r="E17" s="112">
        <v>0</v>
      </c>
      <c r="F17" s="88"/>
      <c r="G17" s="112">
        <v>0</v>
      </c>
      <c r="H17" s="88"/>
      <c r="I17" s="112">
        <v>0</v>
      </c>
      <c r="J17" s="88"/>
      <c r="K17" s="112">
        <v>0</v>
      </c>
      <c r="L17" s="88">
        <v>6</v>
      </c>
      <c r="M17" s="89">
        <v>1</v>
      </c>
      <c r="N17"/>
      <c r="O17"/>
    </row>
    <row r="18" spans="1:15" ht="18" customHeight="1" x14ac:dyDescent="0.3">
      <c r="A18" s="84" t="s">
        <v>46</v>
      </c>
      <c r="B18" s="88">
        <v>88</v>
      </c>
      <c r="C18" s="98">
        <v>0.95652173913043481</v>
      </c>
      <c r="D18" s="88">
        <v>3</v>
      </c>
      <c r="E18" s="98">
        <v>3.2608695652173912E-2</v>
      </c>
      <c r="F18" s="88"/>
      <c r="G18" s="112">
        <v>0</v>
      </c>
      <c r="H18" s="88">
        <v>1</v>
      </c>
      <c r="I18" s="98">
        <v>1.0869565217391304E-2</v>
      </c>
      <c r="J18" s="88"/>
      <c r="K18" s="112">
        <v>0</v>
      </c>
      <c r="L18" s="88">
        <v>92</v>
      </c>
      <c r="M18" s="89">
        <v>1</v>
      </c>
      <c r="N18"/>
      <c r="O18"/>
    </row>
    <row r="19" spans="1:15" ht="18" customHeight="1" x14ac:dyDescent="0.3">
      <c r="A19" s="84" t="s">
        <v>143</v>
      </c>
      <c r="B19" s="88">
        <v>22</v>
      </c>
      <c r="C19" s="112">
        <v>1</v>
      </c>
      <c r="D19" s="88"/>
      <c r="E19" s="112">
        <v>0</v>
      </c>
      <c r="F19" s="88"/>
      <c r="G19" s="112">
        <v>0</v>
      </c>
      <c r="H19" s="88"/>
      <c r="I19" s="112">
        <v>0</v>
      </c>
      <c r="J19" s="88"/>
      <c r="K19" s="112">
        <v>0</v>
      </c>
      <c r="L19" s="88">
        <v>22</v>
      </c>
      <c r="M19" s="89">
        <v>1</v>
      </c>
      <c r="N19"/>
      <c r="O19"/>
    </row>
    <row r="20" spans="1:15" ht="18" customHeight="1" x14ac:dyDescent="0.3">
      <c r="A20" s="84" t="s">
        <v>127</v>
      </c>
      <c r="B20" s="88">
        <v>25</v>
      </c>
      <c r="C20" s="112">
        <v>0.8928571428571429</v>
      </c>
      <c r="D20" s="88">
        <v>3</v>
      </c>
      <c r="E20" s="112">
        <v>0.10714285714285714</v>
      </c>
      <c r="F20" s="88"/>
      <c r="G20" s="112">
        <v>0</v>
      </c>
      <c r="H20" s="88"/>
      <c r="I20" s="112">
        <v>0</v>
      </c>
      <c r="J20" s="88"/>
      <c r="K20" s="112">
        <v>0</v>
      </c>
      <c r="L20" s="88">
        <v>28</v>
      </c>
      <c r="M20" s="89">
        <v>1</v>
      </c>
      <c r="N20"/>
      <c r="O20"/>
    </row>
    <row r="21" spans="1:15" ht="18" customHeight="1" x14ac:dyDescent="0.3">
      <c r="A21" s="84" t="s">
        <v>140</v>
      </c>
      <c r="B21" s="88">
        <v>233</v>
      </c>
      <c r="C21" s="112">
        <v>1</v>
      </c>
      <c r="D21" s="88"/>
      <c r="E21" s="112">
        <v>0</v>
      </c>
      <c r="F21" s="88"/>
      <c r="G21" s="112">
        <v>0</v>
      </c>
      <c r="H21" s="88"/>
      <c r="I21" s="112">
        <v>0</v>
      </c>
      <c r="J21" s="88"/>
      <c r="K21" s="112">
        <v>0</v>
      </c>
      <c r="L21" s="88">
        <v>233</v>
      </c>
      <c r="M21" s="89">
        <v>1</v>
      </c>
      <c r="N21"/>
      <c r="O21"/>
    </row>
    <row r="22" spans="1:15" ht="18" customHeight="1" x14ac:dyDescent="0.3">
      <c r="A22" s="84" t="s">
        <v>106</v>
      </c>
      <c r="B22" s="88">
        <v>46</v>
      </c>
      <c r="C22" s="112">
        <v>1</v>
      </c>
      <c r="D22" s="88"/>
      <c r="E22" s="112">
        <v>0</v>
      </c>
      <c r="F22" s="88"/>
      <c r="G22" s="112">
        <v>0</v>
      </c>
      <c r="H22" s="88"/>
      <c r="I22" s="112">
        <v>0</v>
      </c>
      <c r="J22" s="88"/>
      <c r="K22" s="112">
        <v>0</v>
      </c>
      <c r="L22" s="88">
        <v>46</v>
      </c>
      <c r="M22" s="89">
        <v>1</v>
      </c>
      <c r="N22"/>
      <c r="O22"/>
    </row>
    <row r="23" spans="1:15" ht="18" customHeight="1" x14ac:dyDescent="0.3">
      <c r="A23" s="84" t="s">
        <v>47</v>
      </c>
      <c r="B23" s="88">
        <v>16</v>
      </c>
      <c r="C23" s="112">
        <v>1</v>
      </c>
      <c r="D23" s="88"/>
      <c r="E23" s="112">
        <v>0</v>
      </c>
      <c r="F23" s="88"/>
      <c r="G23" s="112">
        <v>0</v>
      </c>
      <c r="H23" s="88"/>
      <c r="I23" s="112">
        <v>0</v>
      </c>
      <c r="J23" s="88"/>
      <c r="K23" s="112">
        <v>0</v>
      </c>
      <c r="L23" s="88">
        <v>16</v>
      </c>
      <c r="M23" s="89">
        <v>1</v>
      </c>
      <c r="N23"/>
      <c r="O23"/>
    </row>
    <row r="24" spans="1:15" ht="18" customHeight="1" x14ac:dyDescent="0.3">
      <c r="A24" s="84" t="s">
        <v>162</v>
      </c>
      <c r="B24" s="88">
        <v>3</v>
      </c>
      <c r="C24" s="112">
        <v>1</v>
      </c>
      <c r="D24" s="88"/>
      <c r="E24" s="112">
        <v>0</v>
      </c>
      <c r="F24" s="88"/>
      <c r="G24" s="112">
        <v>0</v>
      </c>
      <c r="H24" s="88"/>
      <c r="I24" s="112">
        <v>0</v>
      </c>
      <c r="J24" s="88"/>
      <c r="K24" s="112">
        <v>0</v>
      </c>
      <c r="L24" s="88">
        <v>3</v>
      </c>
      <c r="M24" s="89">
        <v>1</v>
      </c>
      <c r="N24"/>
      <c r="O24"/>
    </row>
    <row r="25" spans="1:15" ht="18" customHeight="1" x14ac:dyDescent="0.3">
      <c r="A25" s="84" t="s">
        <v>112</v>
      </c>
      <c r="B25" s="88">
        <v>38</v>
      </c>
      <c r="C25" s="112">
        <v>0.70370370370370372</v>
      </c>
      <c r="D25" s="88"/>
      <c r="E25" s="112">
        <v>0</v>
      </c>
      <c r="F25" s="88"/>
      <c r="G25" s="112">
        <v>0</v>
      </c>
      <c r="H25" s="88"/>
      <c r="I25" s="112">
        <v>0</v>
      </c>
      <c r="J25" s="88">
        <v>16</v>
      </c>
      <c r="K25" s="112">
        <v>0.29629629629629628</v>
      </c>
      <c r="L25" s="88">
        <v>54</v>
      </c>
      <c r="M25" s="89">
        <v>1</v>
      </c>
      <c r="N25"/>
      <c r="O25"/>
    </row>
    <row r="26" spans="1:15" ht="18" customHeight="1" x14ac:dyDescent="0.3">
      <c r="A26" s="84" t="s">
        <v>128</v>
      </c>
      <c r="B26" s="88">
        <v>137</v>
      </c>
      <c r="C26" s="112">
        <v>0.97857142857142854</v>
      </c>
      <c r="D26" s="88">
        <v>3</v>
      </c>
      <c r="E26" s="112">
        <v>2.1428571428571429E-2</v>
      </c>
      <c r="F26" s="88"/>
      <c r="G26" s="112">
        <v>0</v>
      </c>
      <c r="H26" s="88"/>
      <c r="I26" s="112">
        <v>0</v>
      </c>
      <c r="J26" s="88"/>
      <c r="K26" s="112">
        <v>0</v>
      </c>
      <c r="L26" s="88">
        <v>140</v>
      </c>
      <c r="M26" s="89">
        <v>1</v>
      </c>
      <c r="N26"/>
      <c r="O26"/>
    </row>
    <row r="27" spans="1:15" ht="18" customHeight="1" x14ac:dyDescent="0.3">
      <c r="A27" s="84" t="s">
        <v>150</v>
      </c>
      <c r="B27" s="88">
        <v>19</v>
      </c>
      <c r="C27" s="112">
        <v>1</v>
      </c>
      <c r="D27" s="88"/>
      <c r="E27" s="112">
        <v>0</v>
      </c>
      <c r="F27" s="88"/>
      <c r="G27" s="112">
        <v>0</v>
      </c>
      <c r="H27" s="88"/>
      <c r="I27" s="112">
        <v>0</v>
      </c>
      <c r="J27" s="88"/>
      <c r="K27" s="112">
        <v>0</v>
      </c>
      <c r="L27" s="88">
        <v>19</v>
      </c>
      <c r="M27" s="89">
        <v>1</v>
      </c>
      <c r="N27"/>
      <c r="O27"/>
    </row>
    <row r="28" spans="1:15" ht="18" customHeight="1" x14ac:dyDescent="0.3">
      <c r="A28" s="84" t="s">
        <v>48</v>
      </c>
      <c r="B28" s="88">
        <v>276</v>
      </c>
      <c r="C28" s="98">
        <v>0.94845360824742264</v>
      </c>
      <c r="D28" s="88">
        <v>15</v>
      </c>
      <c r="E28" s="98">
        <v>5.1546391752577317E-2</v>
      </c>
      <c r="F28" s="88"/>
      <c r="G28" s="112">
        <v>0</v>
      </c>
      <c r="H28" s="88"/>
      <c r="I28" s="112">
        <v>0</v>
      </c>
      <c r="J28" s="88"/>
      <c r="K28" s="112">
        <v>0</v>
      </c>
      <c r="L28" s="88">
        <v>291</v>
      </c>
      <c r="M28" s="89">
        <v>1</v>
      </c>
      <c r="N28"/>
      <c r="O28"/>
    </row>
    <row r="29" spans="1:15" ht="18" customHeight="1" x14ac:dyDescent="0.3">
      <c r="A29" s="84" t="s">
        <v>154</v>
      </c>
      <c r="B29" s="88">
        <v>1</v>
      </c>
      <c r="C29" s="112">
        <v>0.16666666666666666</v>
      </c>
      <c r="D29" s="88"/>
      <c r="E29" s="112">
        <v>0</v>
      </c>
      <c r="F29" s="88">
        <v>3</v>
      </c>
      <c r="G29" s="112">
        <v>0.5</v>
      </c>
      <c r="H29" s="88">
        <v>2</v>
      </c>
      <c r="I29" s="112">
        <v>0.33333333333333331</v>
      </c>
      <c r="J29" s="88"/>
      <c r="K29" s="112">
        <v>0</v>
      </c>
      <c r="L29" s="88">
        <v>6</v>
      </c>
      <c r="M29" s="89">
        <v>1</v>
      </c>
      <c r="N29"/>
      <c r="O29"/>
    </row>
    <row r="30" spans="1:15" ht="18" customHeight="1" x14ac:dyDescent="0.3">
      <c r="A30" s="84" t="s">
        <v>49</v>
      </c>
      <c r="B30" s="88">
        <v>144</v>
      </c>
      <c r="C30" s="112">
        <v>1</v>
      </c>
      <c r="D30" s="88"/>
      <c r="E30" s="112">
        <v>0</v>
      </c>
      <c r="F30" s="88"/>
      <c r="G30" s="112">
        <v>0</v>
      </c>
      <c r="H30" s="88"/>
      <c r="I30" s="112">
        <v>0</v>
      </c>
      <c r="J30" s="88"/>
      <c r="K30" s="112">
        <v>0</v>
      </c>
      <c r="L30" s="88">
        <v>144</v>
      </c>
      <c r="M30" s="89">
        <v>1</v>
      </c>
      <c r="N30"/>
      <c r="O30"/>
    </row>
    <row r="31" spans="1:15" ht="18" customHeight="1" x14ac:dyDescent="0.3">
      <c r="A31" s="84" t="s">
        <v>170</v>
      </c>
      <c r="B31" s="88">
        <v>3</v>
      </c>
      <c r="C31" s="112">
        <v>1</v>
      </c>
      <c r="D31" s="88"/>
      <c r="E31" s="112">
        <v>0</v>
      </c>
      <c r="F31" s="88"/>
      <c r="G31" s="112">
        <v>0</v>
      </c>
      <c r="H31" s="88"/>
      <c r="I31" s="112">
        <v>0</v>
      </c>
      <c r="J31" s="88"/>
      <c r="K31" s="112">
        <v>0</v>
      </c>
      <c r="L31" s="88">
        <v>3</v>
      </c>
      <c r="M31" s="89">
        <v>1</v>
      </c>
      <c r="N31"/>
      <c r="O31"/>
    </row>
    <row r="32" spans="1:15" ht="18" customHeight="1" x14ac:dyDescent="0.3">
      <c r="A32" s="84" t="s">
        <v>129</v>
      </c>
      <c r="B32" s="88">
        <v>31</v>
      </c>
      <c r="C32" s="112">
        <v>1</v>
      </c>
      <c r="D32" s="88"/>
      <c r="E32" s="112">
        <v>0</v>
      </c>
      <c r="F32" s="88"/>
      <c r="G32" s="112">
        <v>0</v>
      </c>
      <c r="H32" s="88"/>
      <c r="I32" s="112">
        <v>0</v>
      </c>
      <c r="J32" s="88"/>
      <c r="K32" s="112">
        <v>0</v>
      </c>
      <c r="L32" s="88">
        <v>31</v>
      </c>
      <c r="M32" s="89">
        <v>1</v>
      </c>
      <c r="N32"/>
      <c r="O32"/>
    </row>
    <row r="33" spans="1:15" ht="18" customHeight="1" x14ac:dyDescent="0.3">
      <c r="A33" s="84" t="s">
        <v>155</v>
      </c>
      <c r="B33" s="88">
        <v>24</v>
      </c>
      <c r="C33" s="112">
        <v>1</v>
      </c>
      <c r="D33" s="88"/>
      <c r="E33" s="112">
        <v>0</v>
      </c>
      <c r="F33" s="88"/>
      <c r="G33" s="112">
        <v>0</v>
      </c>
      <c r="H33" s="88"/>
      <c r="I33" s="112">
        <v>0</v>
      </c>
      <c r="J33" s="88"/>
      <c r="K33" s="112">
        <v>0</v>
      </c>
      <c r="L33" s="88">
        <v>24</v>
      </c>
      <c r="M33" s="89">
        <v>1</v>
      </c>
      <c r="N33"/>
      <c r="O33"/>
    </row>
    <row r="34" spans="1:15" ht="18" customHeight="1" x14ac:dyDescent="0.3">
      <c r="A34" s="84" t="s">
        <v>50</v>
      </c>
      <c r="B34" s="88">
        <v>63</v>
      </c>
      <c r="C34" s="98">
        <v>0.96923076923076923</v>
      </c>
      <c r="D34" s="88"/>
      <c r="E34" s="112">
        <v>0</v>
      </c>
      <c r="F34" s="88"/>
      <c r="G34" s="112">
        <v>0</v>
      </c>
      <c r="H34" s="88">
        <v>2</v>
      </c>
      <c r="I34" s="98">
        <v>3.0769230769230771E-2</v>
      </c>
      <c r="J34" s="88"/>
      <c r="K34" s="112">
        <v>0</v>
      </c>
      <c r="L34" s="88">
        <v>65</v>
      </c>
      <c r="M34" s="89">
        <v>1</v>
      </c>
      <c r="N34"/>
      <c r="O34"/>
    </row>
    <row r="35" spans="1:15" ht="18" customHeight="1" x14ac:dyDescent="0.3">
      <c r="A35" s="84" t="s">
        <v>159</v>
      </c>
      <c r="B35" s="88">
        <v>1</v>
      </c>
      <c r="C35" s="112">
        <v>1</v>
      </c>
      <c r="D35" s="88"/>
      <c r="E35" s="112">
        <v>0</v>
      </c>
      <c r="F35" s="88"/>
      <c r="G35" s="112">
        <v>0</v>
      </c>
      <c r="H35" s="88"/>
      <c r="I35" s="112">
        <v>0</v>
      </c>
      <c r="J35" s="88"/>
      <c r="K35" s="112">
        <v>0</v>
      </c>
      <c r="L35" s="88">
        <v>1</v>
      </c>
      <c r="M35" s="89">
        <v>1</v>
      </c>
      <c r="N35"/>
      <c r="O35"/>
    </row>
    <row r="36" spans="1:15" ht="18" customHeight="1" x14ac:dyDescent="0.3">
      <c r="A36" s="84" t="s">
        <v>51</v>
      </c>
      <c r="B36" s="88">
        <v>17</v>
      </c>
      <c r="C36" s="112">
        <v>1</v>
      </c>
      <c r="D36" s="88"/>
      <c r="E36" s="112">
        <v>0</v>
      </c>
      <c r="F36" s="88"/>
      <c r="G36" s="112">
        <v>0</v>
      </c>
      <c r="H36" s="88"/>
      <c r="I36" s="112">
        <v>0</v>
      </c>
      <c r="J36" s="88"/>
      <c r="K36" s="112">
        <v>0</v>
      </c>
      <c r="L36" s="88">
        <v>17</v>
      </c>
      <c r="M36" s="89">
        <v>1</v>
      </c>
      <c r="N36"/>
      <c r="O36"/>
    </row>
    <row r="37" spans="1:15" ht="18" customHeight="1" x14ac:dyDescent="0.3">
      <c r="A37" s="84" t="s">
        <v>52</v>
      </c>
      <c r="B37" s="88">
        <v>60</v>
      </c>
      <c r="C37" s="112">
        <v>0.98360655737704916</v>
      </c>
      <c r="D37" s="88">
        <v>1</v>
      </c>
      <c r="E37" s="112">
        <v>1.6393442622950821E-2</v>
      </c>
      <c r="F37" s="88"/>
      <c r="G37" s="112">
        <v>0</v>
      </c>
      <c r="H37" s="88"/>
      <c r="I37" s="112">
        <v>0</v>
      </c>
      <c r="J37" s="88"/>
      <c r="K37" s="112">
        <v>0</v>
      </c>
      <c r="L37" s="88">
        <v>61</v>
      </c>
      <c r="M37" s="89">
        <v>1</v>
      </c>
      <c r="N37"/>
      <c r="O37"/>
    </row>
    <row r="38" spans="1:15" ht="18" customHeight="1" x14ac:dyDescent="0.3">
      <c r="A38" s="84" t="s">
        <v>156</v>
      </c>
      <c r="B38" s="88">
        <v>3</v>
      </c>
      <c r="C38" s="112">
        <v>1</v>
      </c>
      <c r="D38" s="88"/>
      <c r="E38" s="112">
        <v>0</v>
      </c>
      <c r="F38" s="88"/>
      <c r="G38" s="112">
        <v>0</v>
      </c>
      <c r="H38" s="88"/>
      <c r="I38" s="112">
        <v>0</v>
      </c>
      <c r="J38" s="88"/>
      <c r="K38" s="112">
        <v>0</v>
      </c>
      <c r="L38" s="88">
        <v>3</v>
      </c>
      <c r="M38" s="89">
        <v>1</v>
      </c>
      <c r="N38"/>
      <c r="O38"/>
    </row>
    <row r="39" spans="1:15" ht="18" customHeight="1" x14ac:dyDescent="0.3">
      <c r="A39" s="84" t="s">
        <v>123</v>
      </c>
      <c r="B39" s="88">
        <v>37</v>
      </c>
      <c r="C39" s="112">
        <v>0.71153846153846156</v>
      </c>
      <c r="D39" s="88"/>
      <c r="E39" s="112">
        <v>0</v>
      </c>
      <c r="F39" s="88">
        <v>9</v>
      </c>
      <c r="G39" s="112">
        <v>0.17307692307692307</v>
      </c>
      <c r="H39" s="88"/>
      <c r="I39" s="112">
        <v>0</v>
      </c>
      <c r="J39" s="88">
        <v>6</v>
      </c>
      <c r="K39" s="112">
        <v>0.11538461538461539</v>
      </c>
      <c r="L39" s="88">
        <v>52</v>
      </c>
      <c r="M39" s="89">
        <v>1</v>
      </c>
      <c r="N39"/>
      <c r="O39"/>
    </row>
    <row r="40" spans="1:15" ht="18" customHeight="1" x14ac:dyDescent="0.3">
      <c r="A40" s="84" t="s">
        <v>144</v>
      </c>
      <c r="B40" s="88">
        <v>126</v>
      </c>
      <c r="C40" s="112">
        <v>0.66315789473684206</v>
      </c>
      <c r="D40" s="88">
        <v>20</v>
      </c>
      <c r="E40" s="112">
        <v>0.10526315789473684</v>
      </c>
      <c r="F40" s="88"/>
      <c r="G40" s="112">
        <v>0</v>
      </c>
      <c r="H40" s="88">
        <v>21</v>
      </c>
      <c r="I40" s="112">
        <v>0.11052631578947368</v>
      </c>
      <c r="J40" s="88">
        <v>23</v>
      </c>
      <c r="K40" s="112">
        <v>0.12105263157894737</v>
      </c>
      <c r="L40" s="88">
        <v>190</v>
      </c>
      <c r="M40" s="89">
        <v>1</v>
      </c>
      <c r="N40"/>
      <c r="O40"/>
    </row>
    <row r="41" spans="1:15" ht="18" customHeight="1" x14ac:dyDescent="0.3">
      <c r="A41" s="84" t="s">
        <v>160</v>
      </c>
      <c r="B41" s="88">
        <v>7</v>
      </c>
      <c r="C41" s="112">
        <v>1</v>
      </c>
      <c r="D41" s="88"/>
      <c r="E41" s="112">
        <v>0</v>
      </c>
      <c r="F41" s="88"/>
      <c r="G41" s="112">
        <v>0</v>
      </c>
      <c r="H41" s="88"/>
      <c r="I41" s="112">
        <v>0</v>
      </c>
      <c r="J41" s="88"/>
      <c r="K41" s="112">
        <v>0</v>
      </c>
      <c r="L41" s="88">
        <v>7</v>
      </c>
      <c r="M41" s="89">
        <v>1</v>
      </c>
      <c r="N41" s="70"/>
      <c r="O41" s="70"/>
    </row>
    <row r="42" spans="1:15" ht="18" customHeight="1" x14ac:dyDescent="0.3">
      <c r="A42" s="84" t="s">
        <v>167</v>
      </c>
      <c r="B42" s="88">
        <v>1</v>
      </c>
      <c r="C42" s="112">
        <v>1</v>
      </c>
      <c r="D42" s="88"/>
      <c r="E42" s="112">
        <v>0</v>
      </c>
      <c r="F42" s="88"/>
      <c r="G42" s="112">
        <v>0</v>
      </c>
      <c r="H42" s="88"/>
      <c r="I42" s="112">
        <v>0</v>
      </c>
      <c r="J42" s="88"/>
      <c r="K42" s="112">
        <v>0</v>
      </c>
      <c r="L42" s="88">
        <v>1</v>
      </c>
      <c r="M42" s="89">
        <v>1</v>
      </c>
      <c r="N42" s="70"/>
      <c r="O42" s="70"/>
    </row>
    <row r="43" spans="1:15" ht="18" customHeight="1" x14ac:dyDescent="0.3">
      <c r="A43" s="84" t="s">
        <v>132</v>
      </c>
      <c r="B43" s="88">
        <v>189</v>
      </c>
      <c r="C43" s="112">
        <v>0.84375</v>
      </c>
      <c r="D43" s="88"/>
      <c r="E43" s="112">
        <v>0</v>
      </c>
      <c r="F43" s="88">
        <v>31</v>
      </c>
      <c r="G43" s="112">
        <v>0.13839285714285715</v>
      </c>
      <c r="H43" s="88">
        <v>4</v>
      </c>
      <c r="I43" s="112">
        <v>1.7857142857142856E-2</v>
      </c>
      <c r="J43" s="88"/>
      <c r="K43" s="112">
        <v>0</v>
      </c>
      <c r="L43" s="88">
        <v>224</v>
      </c>
      <c r="M43" s="89">
        <v>1</v>
      </c>
      <c r="N43" s="70"/>
      <c r="O43" s="70"/>
    </row>
    <row r="44" spans="1:15" ht="18" customHeight="1" x14ac:dyDescent="0.3">
      <c r="A44" s="87" t="s">
        <v>11</v>
      </c>
      <c r="B44" s="88">
        <v>2119</v>
      </c>
      <c r="C44" s="98">
        <v>0.91771329579904726</v>
      </c>
      <c r="D44" s="88">
        <v>51</v>
      </c>
      <c r="E44" s="98">
        <v>2.2087483759203119E-2</v>
      </c>
      <c r="F44" s="88">
        <v>63</v>
      </c>
      <c r="G44" s="98">
        <v>2.7284538761368559E-2</v>
      </c>
      <c r="H44" s="88">
        <v>31</v>
      </c>
      <c r="I44" s="98">
        <v>1.3425725422260719E-2</v>
      </c>
      <c r="J44" s="88">
        <v>45</v>
      </c>
      <c r="K44" s="98">
        <v>1.9488956258120398E-2</v>
      </c>
      <c r="L44" s="88">
        <v>2309</v>
      </c>
      <c r="M44" s="89">
        <v>1</v>
      </c>
      <c r="N44" s="70"/>
      <c r="O44" s="70"/>
    </row>
    <row r="45" spans="1:15" ht="18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 s="70"/>
      <c r="O45" s="70"/>
    </row>
    <row r="46" spans="1:15" ht="18" customHeight="1" x14ac:dyDescent="0.3">
      <c r="A46" s="61"/>
      <c r="B46" s="60"/>
      <c r="C46" s="63"/>
      <c r="D46" s="60"/>
      <c r="E46" s="63"/>
      <c r="F46" s="60"/>
      <c r="G46" s="63"/>
      <c r="H46" s="60"/>
      <c r="I46" s="63"/>
      <c r="J46" s="60"/>
      <c r="K46" s="63"/>
      <c r="L46" s="60"/>
      <c r="M46" s="62"/>
      <c r="N46" s="70"/>
      <c r="O46" s="70"/>
    </row>
    <row r="47" spans="1:15" ht="19.5" customHeight="1" x14ac:dyDescent="0.25">
      <c r="A47" s="65" t="s">
        <v>135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</row>
    <row r="48" spans="1:15" ht="22.5" customHeight="1" x14ac:dyDescent="0.25">
      <c r="A48" s="5"/>
      <c r="B48" s="64" t="s">
        <v>0</v>
      </c>
      <c r="C48" s="64"/>
      <c r="D48" s="64" t="s">
        <v>1</v>
      </c>
      <c r="E48" s="64"/>
      <c r="F48" s="64" t="s">
        <v>2</v>
      </c>
      <c r="G48" s="64"/>
      <c r="H48" s="64" t="s">
        <v>3</v>
      </c>
      <c r="I48" s="64"/>
      <c r="J48" s="64" t="s">
        <v>115</v>
      </c>
      <c r="K48" s="64"/>
      <c r="L48" s="5" t="s">
        <v>4</v>
      </c>
    </row>
    <row r="49" spans="1:25" ht="12.75" hidden="1" customHeight="1" x14ac:dyDescent="0.3">
      <c r="A49" s="82"/>
      <c r="B49" s="86" t="s">
        <v>5</v>
      </c>
      <c r="C49" s="98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/>
      <c r="O49"/>
      <c r="P49"/>
      <c r="Q49"/>
      <c r="R49"/>
      <c r="S49"/>
      <c r="T49"/>
      <c r="U49"/>
      <c r="V49"/>
      <c r="W49"/>
      <c r="X49"/>
      <c r="Y49"/>
    </row>
    <row r="50" spans="1:25" ht="12.75" hidden="1" customHeight="1" x14ac:dyDescent="0.3">
      <c r="A50" s="82"/>
      <c r="B50" s="83" t="s">
        <v>0</v>
      </c>
      <c r="C50" s="83"/>
      <c r="D50" s="84" t="s">
        <v>1</v>
      </c>
      <c r="E50" s="84"/>
      <c r="F50" s="85" t="s">
        <v>2</v>
      </c>
      <c r="G50" s="85"/>
      <c r="H50" s="84" t="s">
        <v>3</v>
      </c>
      <c r="I50" s="84"/>
      <c r="J50" s="82" t="s">
        <v>111</v>
      </c>
      <c r="K50" s="82"/>
      <c r="L50" s="82" t="s">
        <v>4</v>
      </c>
      <c r="M50" s="82" t="s">
        <v>6</v>
      </c>
      <c r="N50"/>
      <c r="O50"/>
      <c r="P50"/>
      <c r="Q50"/>
      <c r="R50"/>
      <c r="S50"/>
      <c r="T50"/>
      <c r="U50"/>
      <c r="V50"/>
      <c r="W50"/>
      <c r="X50"/>
      <c r="Y50"/>
    </row>
    <row r="51" spans="1:25" ht="15" customHeight="1" x14ac:dyDescent="0.3">
      <c r="A51" s="101" t="s">
        <v>5</v>
      </c>
      <c r="B51" s="101" t="s">
        <v>7</v>
      </c>
      <c r="C51" s="101" t="s">
        <v>8</v>
      </c>
      <c r="D51" s="101" t="s">
        <v>7</v>
      </c>
      <c r="E51" s="101" t="s">
        <v>8</v>
      </c>
      <c r="F51" s="101" t="s">
        <v>7</v>
      </c>
      <c r="G51" s="101" t="s">
        <v>8</v>
      </c>
      <c r="H51" s="101" t="s">
        <v>7</v>
      </c>
      <c r="I51" s="101" t="s">
        <v>8</v>
      </c>
      <c r="J51" s="101" t="s">
        <v>7</v>
      </c>
      <c r="K51" s="101" t="s">
        <v>8</v>
      </c>
      <c r="L51" s="101"/>
      <c r="M51" s="101"/>
      <c r="N51"/>
      <c r="O51"/>
      <c r="P51"/>
      <c r="Q51"/>
      <c r="R51"/>
      <c r="S51"/>
      <c r="T51"/>
      <c r="U51"/>
      <c r="V51"/>
      <c r="W51"/>
      <c r="X51"/>
      <c r="Y51"/>
    </row>
    <row r="52" spans="1:25" ht="15" customHeight="1" x14ac:dyDescent="0.3">
      <c r="A52" s="84" t="s">
        <v>39</v>
      </c>
      <c r="B52" s="102">
        <v>150.5</v>
      </c>
      <c r="C52" s="112">
        <v>1</v>
      </c>
      <c r="D52" s="88"/>
      <c r="E52" s="112">
        <v>0</v>
      </c>
      <c r="F52" s="88"/>
      <c r="G52" s="112">
        <v>0</v>
      </c>
      <c r="H52" s="88"/>
      <c r="I52" s="112">
        <v>0</v>
      </c>
      <c r="J52" s="88"/>
      <c r="K52" s="112">
        <v>0</v>
      </c>
      <c r="L52" s="102">
        <v>150.5</v>
      </c>
      <c r="M52" s="89">
        <v>1</v>
      </c>
      <c r="N52"/>
      <c r="O52"/>
      <c r="P52"/>
      <c r="Q52"/>
      <c r="R52"/>
      <c r="S52"/>
      <c r="T52"/>
      <c r="U52"/>
      <c r="V52"/>
      <c r="W52"/>
      <c r="X52"/>
      <c r="Y52"/>
    </row>
    <row r="53" spans="1:25" ht="15" customHeight="1" x14ac:dyDescent="0.3">
      <c r="A53" s="84" t="s">
        <v>40</v>
      </c>
      <c r="B53" s="102">
        <v>2882</v>
      </c>
      <c r="C53" s="98">
        <v>0.9536730641958967</v>
      </c>
      <c r="D53" s="88">
        <v>115</v>
      </c>
      <c r="E53" s="98">
        <v>3.8054268696227661E-2</v>
      </c>
      <c r="F53" s="88">
        <v>1</v>
      </c>
      <c r="G53" s="112">
        <v>3.3090668431502316E-4</v>
      </c>
      <c r="H53" s="88">
        <v>24</v>
      </c>
      <c r="I53" s="112">
        <v>7.9417604235605555E-3</v>
      </c>
      <c r="J53" s="88"/>
      <c r="K53" s="112">
        <v>0</v>
      </c>
      <c r="L53" s="102">
        <v>3022</v>
      </c>
      <c r="M53" s="89">
        <v>1</v>
      </c>
      <c r="N53"/>
      <c r="O53"/>
      <c r="P53"/>
      <c r="Q53"/>
      <c r="R53"/>
      <c r="S53"/>
      <c r="T53"/>
      <c r="U53"/>
      <c r="V53"/>
      <c r="W53"/>
      <c r="X53"/>
      <c r="Y53"/>
    </row>
    <row r="54" spans="1:25" ht="15" customHeight="1" x14ac:dyDescent="0.3">
      <c r="A54" s="84" t="s">
        <v>153</v>
      </c>
      <c r="B54" s="102">
        <v>150</v>
      </c>
      <c r="C54" s="112">
        <v>1</v>
      </c>
      <c r="D54" s="88"/>
      <c r="E54" s="112">
        <v>0</v>
      </c>
      <c r="F54" s="88"/>
      <c r="G54" s="112">
        <v>0</v>
      </c>
      <c r="H54" s="88"/>
      <c r="I54" s="112">
        <v>0</v>
      </c>
      <c r="J54" s="88"/>
      <c r="K54" s="112">
        <v>0</v>
      </c>
      <c r="L54" s="102">
        <v>150</v>
      </c>
      <c r="M54" s="89">
        <v>1</v>
      </c>
      <c r="N54"/>
      <c r="O54"/>
      <c r="P54"/>
      <c r="Q54"/>
      <c r="R54"/>
      <c r="S54"/>
      <c r="T54"/>
      <c r="U54"/>
      <c r="V54"/>
      <c r="W54"/>
      <c r="X54"/>
      <c r="Y54"/>
    </row>
    <row r="55" spans="1:25" ht="18" customHeight="1" x14ac:dyDescent="0.3">
      <c r="A55" s="84" t="s">
        <v>41</v>
      </c>
      <c r="B55" s="102">
        <v>348.5</v>
      </c>
      <c r="C55" s="98">
        <v>0.92809587217043943</v>
      </c>
      <c r="D55" s="88">
        <v>27</v>
      </c>
      <c r="E55" s="98">
        <v>7.1904127829560585E-2</v>
      </c>
      <c r="F55" s="88"/>
      <c r="G55" s="112">
        <v>0</v>
      </c>
      <c r="H55" s="88"/>
      <c r="I55" s="112">
        <v>0</v>
      </c>
      <c r="J55" s="88"/>
      <c r="K55" s="112">
        <v>0</v>
      </c>
      <c r="L55" s="102">
        <v>375.5</v>
      </c>
      <c r="M55" s="89">
        <v>1</v>
      </c>
      <c r="N55"/>
      <c r="O55"/>
    </row>
    <row r="56" spans="1:25" ht="18" customHeight="1" x14ac:dyDescent="0.3">
      <c r="A56" s="84" t="s">
        <v>42</v>
      </c>
      <c r="B56" s="102">
        <v>302</v>
      </c>
      <c r="C56" s="112">
        <v>1</v>
      </c>
      <c r="D56" s="88"/>
      <c r="E56" s="112">
        <v>0</v>
      </c>
      <c r="F56" s="88"/>
      <c r="G56" s="112">
        <v>0</v>
      </c>
      <c r="H56" s="88"/>
      <c r="I56" s="112">
        <v>0</v>
      </c>
      <c r="J56" s="88"/>
      <c r="K56" s="112">
        <v>0</v>
      </c>
      <c r="L56" s="102">
        <v>302</v>
      </c>
      <c r="M56" s="89">
        <v>1</v>
      </c>
      <c r="N56"/>
      <c r="O56"/>
    </row>
    <row r="57" spans="1:25" ht="18" customHeight="1" x14ac:dyDescent="0.3">
      <c r="A57" s="84" t="s">
        <v>137</v>
      </c>
      <c r="B57" s="102">
        <v>2223.5</v>
      </c>
      <c r="C57" s="112">
        <v>0.94316012725344645</v>
      </c>
      <c r="D57" s="88">
        <v>134</v>
      </c>
      <c r="E57" s="112">
        <v>5.6839872746553555E-2</v>
      </c>
      <c r="F57" s="88"/>
      <c r="G57" s="112">
        <v>0</v>
      </c>
      <c r="H57" s="88"/>
      <c r="I57" s="112">
        <v>0</v>
      </c>
      <c r="J57" s="88"/>
      <c r="K57" s="112">
        <v>0</v>
      </c>
      <c r="L57" s="102">
        <v>2357.5</v>
      </c>
      <c r="M57" s="89">
        <v>1</v>
      </c>
      <c r="N57"/>
      <c r="O57"/>
    </row>
    <row r="58" spans="1:25" ht="18" customHeight="1" x14ac:dyDescent="0.3">
      <c r="A58" s="84" t="s">
        <v>43</v>
      </c>
      <c r="B58" s="102">
        <v>11018</v>
      </c>
      <c r="C58" s="112">
        <v>1</v>
      </c>
      <c r="D58" s="88"/>
      <c r="E58" s="112">
        <v>0</v>
      </c>
      <c r="F58" s="88"/>
      <c r="G58" s="112">
        <v>0</v>
      </c>
      <c r="H58" s="88"/>
      <c r="I58" s="112">
        <v>0</v>
      </c>
      <c r="J58" s="88"/>
      <c r="K58" s="112">
        <v>0</v>
      </c>
      <c r="L58" s="102">
        <v>11018</v>
      </c>
      <c r="M58" s="89">
        <v>1</v>
      </c>
      <c r="N58"/>
      <c r="O58"/>
    </row>
    <row r="59" spans="1:25" ht="18" customHeight="1" x14ac:dyDescent="0.3">
      <c r="A59" s="84" t="s">
        <v>44</v>
      </c>
      <c r="B59" s="102">
        <v>5660.5</v>
      </c>
      <c r="C59" s="98">
        <v>0.89331649964491433</v>
      </c>
      <c r="D59" s="88"/>
      <c r="E59" s="112">
        <v>0</v>
      </c>
      <c r="F59" s="88">
        <v>676</v>
      </c>
      <c r="G59" s="98">
        <v>0.10668350035508561</v>
      </c>
      <c r="H59" s="88"/>
      <c r="I59" s="112">
        <v>0</v>
      </c>
      <c r="J59" s="88"/>
      <c r="K59" s="112">
        <v>0</v>
      </c>
      <c r="L59" s="102">
        <v>6336.5</v>
      </c>
      <c r="M59" s="89">
        <v>1</v>
      </c>
      <c r="N59"/>
      <c r="O59"/>
    </row>
    <row r="60" spans="1:25" ht="18" customHeight="1" x14ac:dyDescent="0.3">
      <c r="A60" s="84" t="s">
        <v>45</v>
      </c>
      <c r="B60" s="102">
        <v>19610.5</v>
      </c>
      <c r="C60" s="98">
        <v>0.90602693524913946</v>
      </c>
      <c r="D60" s="88"/>
      <c r="E60" s="112">
        <v>0</v>
      </c>
      <c r="F60" s="88">
        <v>2034</v>
      </c>
      <c r="G60" s="98">
        <v>9.3973064750860494E-2</v>
      </c>
      <c r="H60" s="88"/>
      <c r="I60" s="112">
        <v>0</v>
      </c>
      <c r="J60" s="88"/>
      <c r="K60" s="112">
        <v>0</v>
      </c>
      <c r="L60" s="102">
        <v>21644.5</v>
      </c>
      <c r="M60" s="89">
        <v>1</v>
      </c>
      <c r="N60"/>
      <c r="O60"/>
    </row>
    <row r="61" spans="1:25" ht="18" customHeight="1" x14ac:dyDescent="0.3">
      <c r="A61" s="84" t="s">
        <v>161</v>
      </c>
      <c r="B61" s="102">
        <v>6.5</v>
      </c>
      <c r="C61" s="112">
        <v>1</v>
      </c>
      <c r="D61" s="88"/>
      <c r="E61" s="112">
        <v>0</v>
      </c>
      <c r="F61" s="88"/>
      <c r="G61" s="112">
        <v>0</v>
      </c>
      <c r="H61" s="88"/>
      <c r="I61" s="112">
        <v>0</v>
      </c>
      <c r="J61" s="88"/>
      <c r="K61" s="112">
        <v>0</v>
      </c>
      <c r="L61" s="102">
        <v>6.5</v>
      </c>
      <c r="M61" s="89">
        <v>1</v>
      </c>
      <c r="N61"/>
      <c r="O61"/>
    </row>
    <row r="62" spans="1:25" ht="18" customHeight="1" x14ac:dyDescent="0.3">
      <c r="A62" s="84" t="s">
        <v>124</v>
      </c>
      <c r="B62" s="102">
        <v>834</v>
      </c>
      <c r="C62" s="112">
        <v>1</v>
      </c>
      <c r="D62" s="88"/>
      <c r="E62" s="112">
        <v>0</v>
      </c>
      <c r="F62" s="88"/>
      <c r="G62" s="112">
        <v>0</v>
      </c>
      <c r="H62" s="88"/>
      <c r="I62" s="112">
        <v>0</v>
      </c>
      <c r="J62" s="88"/>
      <c r="K62" s="112">
        <v>0</v>
      </c>
      <c r="L62" s="102">
        <v>834</v>
      </c>
      <c r="M62" s="89">
        <v>1</v>
      </c>
      <c r="N62"/>
      <c r="O62"/>
    </row>
    <row r="63" spans="1:25" ht="18" customHeight="1" x14ac:dyDescent="0.3">
      <c r="A63" s="84" t="s">
        <v>102</v>
      </c>
      <c r="B63" s="102">
        <v>856.5</v>
      </c>
      <c r="C63" s="112">
        <v>1</v>
      </c>
      <c r="D63" s="88"/>
      <c r="E63" s="112">
        <v>0</v>
      </c>
      <c r="F63" s="88"/>
      <c r="G63" s="112">
        <v>0</v>
      </c>
      <c r="H63" s="88"/>
      <c r="I63" s="112">
        <v>0</v>
      </c>
      <c r="J63" s="88"/>
      <c r="K63" s="112">
        <v>0</v>
      </c>
      <c r="L63" s="102">
        <v>856.5</v>
      </c>
      <c r="M63" s="89">
        <v>1</v>
      </c>
      <c r="N63"/>
      <c r="O63"/>
    </row>
    <row r="64" spans="1:25" ht="18" customHeight="1" x14ac:dyDescent="0.3">
      <c r="A64" s="84" t="s">
        <v>46</v>
      </c>
      <c r="B64" s="102">
        <v>4263</v>
      </c>
      <c r="C64" s="98">
        <v>0.91559278350515461</v>
      </c>
      <c r="D64" s="88">
        <v>392</v>
      </c>
      <c r="E64" s="98">
        <v>8.4192439862542962E-2</v>
      </c>
      <c r="F64" s="88"/>
      <c r="G64" s="112">
        <v>0</v>
      </c>
      <c r="H64" s="88">
        <v>1</v>
      </c>
      <c r="I64" s="112">
        <v>2.1477663230240549E-4</v>
      </c>
      <c r="J64" s="88"/>
      <c r="K64" s="112">
        <v>0</v>
      </c>
      <c r="L64" s="102">
        <v>4656</v>
      </c>
      <c r="M64" s="89">
        <v>1</v>
      </c>
      <c r="N64"/>
      <c r="O64"/>
    </row>
    <row r="65" spans="1:15" ht="18" customHeight="1" x14ac:dyDescent="0.3">
      <c r="A65" s="84" t="s">
        <v>143</v>
      </c>
      <c r="B65" s="102">
        <v>1225.5</v>
      </c>
      <c r="C65" s="112">
        <v>1</v>
      </c>
      <c r="D65" s="88"/>
      <c r="E65" s="112">
        <v>0</v>
      </c>
      <c r="F65" s="88"/>
      <c r="G65" s="112">
        <v>0</v>
      </c>
      <c r="H65" s="88"/>
      <c r="I65" s="112">
        <v>0</v>
      </c>
      <c r="J65" s="88"/>
      <c r="K65" s="112">
        <v>0</v>
      </c>
      <c r="L65" s="102">
        <v>1225.5</v>
      </c>
      <c r="M65" s="89">
        <v>1</v>
      </c>
      <c r="N65"/>
      <c r="O65"/>
    </row>
    <row r="66" spans="1:15" ht="18" customHeight="1" x14ac:dyDescent="0.3">
      <c r="A66" s="84" t="s">
        <v>127</v>
      </c>
      <c r="B66" s="102">
        <v>954</v>
      </c>
      <c r="C66" s="112">
        <v>0.91907514450867056</v>
      </c>
      <c r="D66" s="88">
        <v>84</v>
      </c>
      <c r="E66" s="112">
        <v>8.0924855491329481E-2</v>
      </c>
      <c r="F66" s="88"/>
      <c r="G66" s="112">
        <v>0</v>
      </c>
      <c r="H66" s="88"/>
      <c r="I66" s="112">
        <v>0</v>
      </c>
      <c r="J66" s="88"/>
      <c r="K66" s="112">
        <v>0</v>
      </c>
      <c r="L66" s="102">
        <v>1038</v>
      </c>
      <c r="M66" s="89">
        <v>1</v>
      </c>
      <c r="N66"/>
      <c r="O66"/>
    </row>
    <row r="67" spans="1:15" ht="18" customHeight="1" x14ac:dyDescent="0.3">
      <c r="A67" s="84" t="s">
        <v>140</v>
      </c>
      <c r="B67" s="102">
        <v>20847.5</v>
      </c>
      <c r="C67" s="112">
        <v>1</v>
      </c>
      <c r="D67" s="88"/>
      <c r="E67" s="112">
        <v>0</v>
      </c>
      <c r="F67" s="88"/>
      <c r="G67" s="112">
        <v>0</v>
      </c>
      <c r="H67" s="88"/>
      <c r="I67" s="112">
        <v>0</v>
      </c>
      <c r="J67" s="88"/>
      <c r="K67" s="112">
        <v>0</v>
      </c>
      <c r="L67" s="102">
        <v>20847.5</v>
      </c>
      <c r="M67" s="89">
        <v>1</v>
      </c>
      <c r="N67"/>
      <c r="O67"/>
    </row>
    <row r="68" spans="1:15" ht="18" customHeight="1" x14ac:dyDescent="0.3">
      <c r="A68" s="84" t="s">
        <v>106</v>
      </c>
      <c r="B68" s="102">
        <v>1560.5</v>
      </c>
      <c r="C68" s="112">
        <v>1</v>
      </c>
      <c r="D68" s="88"/>
      <c r="E68" s="112">
        <v>0</v>
      </c>
      <c r="F68" s="88"/>
      <c r="G68" s="112">
        <v>0</v>
      </c>
      <c r="H68" s="88"/>
      <c r="I68" s="112">
        <v>0</v>
      </c>
      <c r="J68" s="88"/>
      <c r="K68" s="112">
        <v>0</v>
      </c>
      <c r="L68" s="102">
        <v>1560.5</v>
      </c>
      <c r="M68" s="89">
        <v>1</v>
      </c>
      <c r="N68"/>
      <c r="O68"/>
    </row>
    <row r="69" spans="1:15" ht="18" customHeight="1" x14ac:dyDescent="0.3">
      <c r="A69" s="84" t="s">
        <v>47</v>
      </c>
      <c r="B69" s="102">
        <v>325.75</v>
      </c>
      <c r="C69" s="112">
        <v>1</v>
      </c>
      <c r="D69" s="88"/>
      <c r="E69" s="112">
        <v>0</v>
      </c>
      <c r="F69" s="88"/>
      <c r="G69" s="112">
        <v>0</v>
      </c>
      <c r="H69" s="88"/>
      <c r="I69" s="112">
        <v>0</v>
      </c>
      <c r="J69" s="88"/>
      <c r="K69" s="112">
        <v>0</v>
      </c>
      <c r="L69" s="102">
        <v>325.75</v>
      </c>
      <c r="M69" s="89">
        <v>1</v>
      </c>
      <c r="N69"/>
      <c r="O69"/>
    </row>
    <row r="70" spans="1:15" ht="18" customHeight="1" x14ac:dyDescent="0.3">
      <c r="A70" s="84" t="s">
        <v>162</v>
      </c>
      <c r="B70" s="102">
        <v>24</v>
      </c>
      <c r="C70" s="112">
        <v>1</v>
      </c>
      <c r="D70" s="88"/>
      <c r="E70" s="112">
        <v>0</v>
      </c>
      <c r="F70" s="88"/>
      <c r="G70" s="112">
        <v>0</v>
      </c>
      <c r="H70" s="88"/>
      <c r="I70" s="112">
        <v>0</v>
      </c>
      <c r="J70" s="88"/>
      <c r="K70" s="112">
        <v>0</v>
      </c>
      <c r="L70" s="102">
        <v>24</v>
      </c>
      <c r="M70" s="89">
        <v>1</v>
      </c>
      <c r="N70"/>
      <c r="O70"/>
    </row>
    <row r="71" spans="1:15" ht="18" customHeight="1" x14ac:dyDescent="0.3">
      <c r="A71" s="84" t="s">
        <v>112</v>
      </c>
      <c r="B71" s="102">
        <v>2315</v>
      </c>
      <c r="C71" s="98">
        <v>0.7334072548709013</v>
      </c>
      <c r="D71" s="88"/>
      <c r="E71" s="112">
        <v>0</v>
      </c>
      <c r="F71" s="88"/>
      <c r="G71" s="112">
        <v>0</v>
      </c>
      <c r="H71" s="88"/>
      <c r="I71" s="112">
        <v>0</v>
      </c>
      <c r="J71" s="88">
        <v>841.5</v>
      </c>
      <c r="K71" s="98">
        <v>0.2665927451290987</v>
      </c>
      <c r="L71" s="102">
        <v>3156.5</v>
      </c>
      <c r="M71" s="89">
        <v>1</v>
      </c>
      <c r="N71"/>
      <c r="O71"/>
    </row>
    <row r="72" spans="1:15" ht="18" customHeight="1" x14ac:dyDescent="0.3">
      <c r="A72" s="84" t="s">
        <v>128</v>
      </c>
      <c r="B72" s="102">
        <v>10508.5</v>
      </c>
      <c r="C72" s="112">
        <v>0.99772133871350577</v>
      </c>
      <c r="D72" s="88">
        <v>24</v>
      </c>
      <c r="E72" s="112">
        <v>2.2786612864941847E-3</v>
      </c>
      <c r="F72" s="88"/>
      <c r="G72" s="112">
        <v>0</v>
      </c>
      <c r="H72" s="88"/>
      <c r="I72" s="112">
        <v>0</v>
      </c>
      <c r="J72" s="88"/>
      <c r="K72" s="112">
        <v>0</v>
      </c>
      <c r="L72" s="102">
        <v>10532.5</v>
      </c>
      <c r="M72" s="89">
        <v>1</v>
      </c>
      <c r="N72"/>
      <c r="O72"/>
    </row>
    <row r="73" spans="1:15" ht="18" customHeight="1" x14ac:dyDescent="0.3">
      <c r="A73" s="84" t="s">
        <v>150</v>
      </c>
      <c r="B73" s="102">
        <v>1207</v>
      </c>
      <c r="C73" s="112">
        <v>1</v>
      </c>
      <c r="D73" s="88"/>
      <c r="E73" s="112">
        <v>0</v>
      </c>
      <c r="F73" s="88"/>
      <c r="G73" s="112">
        <v>0</v>
      </c>
      <c r="H73" s="88"/>
      <c r="I73" s="112">
        <v>0</v>
      </c>
      <c r="J73" s="88"/>
      <c r="K73" s="112">
        <v>0</v>
      </c>
      <c r="L73" s="102">
        <v>1207</v>
      </c>
      <c r="M73" s="89">
        <v>1</v>
      </c>
      <c r="N73"/>
      <c r="O73"/>
    </row>
    <row r="74" spans="1:15" ht="18" customHeight="1" x14ac:dyDescent="0.3">
      <c r="A74" s="84" t="s">
        <v>48</v>
      </c>
      <c r="B74" s="102">
        <v>25783</v>
      </c>
      <c r="C74" s="98">
        <v>0.95177098137654814</v>
      </c>
      <c r="D74" s="88">
        <v>1306.5</v>
      </c>
      <c r="E74" s="98">
        <v>4.8229018623451893E-2</v>
      </c>
      <c r="F74" s="88"/>
      <c r="G74" s="112">
        <v>0</v>
      </c>
      <c r="H74" s="88"/>
      <c r="I74" s="112">
        <v>0</v>
      </c>
      <c r="J74" s="88"/>
      <c r="K74" s="112">
        <v>0</v>
      </c>
      <c r="L74" s="102">
        <v>27089.5</v>
      </c>
      <c r="M74" s="89">
        <v>1</v>
      </c>
      <c r="N74"/>
      <c r="O74"/>
    </row>
    <row r="75" spans="1:15" ht="18" customHeight="1" x14ac:dyDescent="0.3">
      <c r="A75" s="84" t="s">
        <v>154</v>
      </c>
      <c r="B75" s="102">
        <v>8</v>
      </c>
      <c r="C75" s="112">
        <v>4.6511627906976744E-2</v>
      </c>
      <c r="D75" s="88"/>
      <c r="E75" s="112">
        <v>0</v>
      </c>
      <c r="F75" s="88">
        <v>100</v>
      </c>
      <c r="G75" s="112">
        <v>0.58139534883720934</v>
      </c>
      <c r="H75" s="88">
        <v>64</v>
      </c>
      <c r="I75" s="112">
        <v>0.37209302325581395</v>
      </c>
      <c r="J75" s="88"/>
      <c r="K75" s="112">
        <v>0</v>
      </c>
      <c r="L75" s="102">
        <v>172</v>
      </c>
      <c r="M75" s="89">
        <v>1</v>
      </c>
      <c r="N75"/>
      <c r="O75"/>
    </row>
    <row r="76" spans="1:15" ht="18" customHeight="1" x14ac:dyDescent="0.3">
      <c r="A76" s="84" t="s">
        <v>49</v>
      </c>
      <c r="B76" s="102">
        <v>14896.5</v>
      </c>
      <c r="C76" s="112">
        <v>1</v>
      </c>
      <c r="D76" s="88"/>
      <c r="E76" s="112">
        <v>0</v>
      </c>
      <c r="F76" s="88"/>
      <c r="G76" s="112">
        <v>0</v>
      </c>
      <c r="H76" s="88"/>
      <c r="I76" s="112">
        <v>0</v>
      </c>
      <c r="J76" s="88"/>
      <c r="K76" s="112">
        <v>0</v>
      </c>
      <c r="L76" s="102">
        <v>14896.5</v>
      </c>
      <c r="M76" s="89">
        <v>1</v>
      </c>
      <c r="N76"/>
      <c r="O76"/>
    </row>
    <row r="77" spans="1:15" ht="18" customHeight="1" x14ac:dyDescent="0.3">
      <c r="A77" s="84" t="s">
        <v>170</v>
      </c>
      <c r="B77" s="102">
        <v>40</v>
      </c>
      <c r="C77" s="112">
        <v>1</v>
      </c>
      <c r="D77" s="88"/>
      <c r="E77" s="112">
        <v>0</v>
      </c>
      <c r="F77" s="88"/>
      <c r="G77" s="112">
        <v>0</v>
      </c>
      <c r="H77" s="88"/>
      <c r="I77" s="112">
        <v>0</v>
      </c>
      <c r="J77" s="88"/>
      <c r="K77" s="112">
        <v>0</v>
      </c>
      <c r="L77" s="102">
        <v>40</v>
      </c>
      <c r="M77" s="89">
        <v>1</v>
      </c>
      <c r="N77"/>
      <c r="O77"/>
    </row>
    <row r="78" spans="1:15" ht="18" customHeight="1" x14ac:dyDescent="0.3">
      <c r="A78" s="84" t="s">
        <v>129</v>
      </c>
      <c r="B78" s="102">
        <v>775.75</v>
      </c>
      <c r="C78" s="112">
        <v>1</v>
      </c>
      <c r="D78" s="88"/>
      <c r="E78" s="112">
        <v>0</v>
      </c>
      <c r="F78" s="88"/>
      <c r="G78" s="112">
        <v>0</v>
      </c>
      <c r="H78" s="88"/>
      <c r="I78" s="112">
        <v>0</v>
      </c>
      <c r="J78" s="88"/>
      <c r="K78" s="112">
        <v>0</v>
      </c>
      <c r="L78" s="102">
        <v>775.75</v>
      </c>
      <c r="M78" s="89">
        <v>1</v>
      </c>
      <c r="N78"/>
      <c r="O78"/>
    </row>
    <row r="79" spans="1:15" ht="18" customHeight="1" x14ac:dyDescent="0.3">
      <c r="A79" s="84" t="s">
        <v>155</v>
      </c>
      <c r="B79" s="102">
        <v>479</v>
      </c>
      <c r="C79" s="112">
        <v>1</v>
      </c>
      <c r="D79" s="88"/>
      <c r="E79" s="112">
        <v>0</v>
      </c>
      <c r="F79" s="88"/>
      <c r="G79" s="112">
        <v>0</v>
      </c>
      <c r="H79" s="88"/>
      <c r="I79" s="112">
        <v>0</v>
      </c>
      <c r="J79" s="88"/>
      <c r="K79" s="112">
        <v>0</v>
      </c>
      <c r="L79" s="102">
        <v>479</v>
      </c>
      <c r="M79" s="89">
        <v>1</v>
      </c>
      <c r="N79"/>
      <c r="O79"/>
    </row>
    <row r="80" spans="1:15" ht="18" customHeight="1" x14ac:dyDescent="0.3">
      <c r="A80" s="84" t="s">
        <v>50</v>
      </c>
      <c r="B80" s="102">
        <v>2321.1799999999994</v>
      </c>
      <c r="C80" s="98">
        <v>0.95346028720712428</v>
      </c>
      <c r="D80" s="88"/>
      <c r="E80" s="112">
        <v>0</v>
      </c>
      <c r="F80" s="88"/>
      <c r="G80" s="112">
        <v>0</v>
      </c>
      <c r="H80" s="88">
        <v>113.3</v>
      </c>
      <c r="I80" s="98">
        <v>4.6539712792875693E-2</v>
      </c>
      <c r="J80" s="88"/>
      <c r="K80" s="112">
        <v>0</v>
      </c>
      <c r="L80" s="102">
        <v>2434.4799999999996</v>
      </c>
      <c r="M80" s="89">
        <v>1</v>
      </c>
      <c r="N80"/>
      <c r="O80"/>
    </row>
    <row r="81" spans="1:15" ht="18" customHeight="1" x14ac:dyDescent="0.3">
      <c r="A81" s="84" t="s">
        <v>159</v>
      </c>
      <c r="B81" s="102">
        <v>5.75</v>
      </c>
      <c r="C81" s="112">
        <v>1</v>
      </c>
      <c r="D81" s="88"/>
      <c r="E81" s="112">
        <v>0</v>
      </c>
      <c r="F81" s="88"/>
      <c r="G81" s="112">
        <v>0</v>
      </c>
      <c r="H81" s="88"/>
      <c r="I81" s="112">
        <v>0</v>
      </c>
      <c r="J81" s="88"/>
      <c r="K81" s="112">
        <v>0</v>
      </c>
      <c r="L81" s="102">
        <v>5.75</v>
      </c>
      <c r="M81" s="89">
        <v>1</v>
      </c>
      <c r="N81"/>
      <c r="O81"/>
    </row>
    <row r="82" spans="1:15" ht="18" customHeight="1" x14ac:dyDescent="0.25">
      <c r="A82" s="84" t="s">
        <v>51</v>
      </c>
      <c r="B82" s="102">
        <v>1133.57</v>
      </c>
      <c r="C82" s="112">
        <v>1</v>
      </c>
      <c r="D82" s="88"/>
      <c r="E82" s="112">
        <v>0</v>
      </c>
      <c r="F82" s="88"/>
      <c r="G82" s="112">
        <v>0</v>
      </c>
      <c r="H82" s="88"/>
      <c r="I82" s="112">
        <v>0</v>
      </c>
      <c r="J82" s="88"/>
      <c r="K82" s="112">
        <v>0</v>
      </c>
      <c r="L82" s="102">
        <v>1133.57</v>
      </c>
      <c r="M82" s="89">
        <v>1</v>
      </c>
    </row>
    <row r="83" spans="1:15" ht="18" customHeight="1" x14ac:dyDescent="0.25">
      <c r="A83" s="84" t="s">
        <v>52</v>
      </c>
      <c r="B83" s="102">
        <v>3357.5</v>
      </c>
      <c r="C83" s="112">
        <v>0.99762293864210372</v>
      </c>
      <c r="D83" s="88">
        <v>8</v>
      </c>
      <c r="E83" s="112">
        <v>2.3770613578963009E-3</v>
      </c>
      <c r="F83" s="88"/>
      <c r="G83" s="112">
        <v>0</v>
      </c>
      <c r="H83" s="88"/>
      <c r="I83" s="112">
        <v>0</v>
      </c>
      <c r="J83" s="88"/>
      <c r="K83" s="112">
        <v>0</v>
      </c>
      <c r="L83" s="102">
        <v>3365.5</v>
      </c>
      <c r="M83" s="89">
        <v>1</v>
      </c>
    </row>
    <row r="84" spans="1:15" ht="18" customHeight="1" x14ac:dyDescent="0.25">
      <c r="A84" s="84" t="s">
        <v>156</v>
      </c>
      <c r="B84" s="102">
        <v>24</v>
      </c>
      <c r="C84" s="112">
        <v>1</v>
      </c>
      <c r="D84" s="88"/>
      <c r="E84" s="112">
        <v>0</v>
      </c>
      <c r="F84" s="88"/>
      <c r="G84" s="112">
        <v>0</v>
      </c>
      <c r="H84" s="88"/>
      <c r="I84" s="112">
        <v>0</v>
      </c>
      <c r="J84" s="88"/>
      <c r="K84" s="112">
        <v>0</v>
      </c>
      <c r="L84" s="102">
        <v>24</v>
      </c>
      <c r="M84" s="89">
        <v>1</v>
      </c>
    </row>
    <row r="85" spans="1:15" ht="18" customHeight="1" x14ac:dyDescent="0.25">
      <c r="A85" s="84" t="s">
        <v>123</v>
      </c>
      <c r="B85" s="102">
        <v>4330</v>
      </c>
      <c r="C85" s="112">
        <v>0.75082365181203403</v>
      </c>
      <c r="D85" s="88"/>
      <c r="E85" s="112">
        <v>0</v>
      </c>
      <c r="F85" s="88">
        <v>822</v>
      </c>
      <c r="G85" s="112">
        <v>0.14253511357724988</v>
      </c>
      <c r="H85" s="88"/>
      <c r="I85" s="112">
        <v>0</v>
      </c>
      <c r="J85" s="88">
        <v>615</v>
      </c>
      <c r="K85" s="112">
        <v>0.10664123461071615</v>
      </c>
      <c r="L85" s="102">
        <v>5767</v>
      </c>
      <c r="M85" s="89">
        <v>1</v>
      </c>
    </row>
    <row r="86" spans="1:15" ht="18" customHeight="1" x14ac:dyDescent="0.25">
      <c r="A86" s="84" t="s">
        <v>144</v>
      </c>
      <c r="B86" s="102">
        <v>12041</v>
      </c>
      <c r="C86" s="112">
        <v>0.69615240077472318</v>
      </c>
      <c r="D86" s="88">
        <v>1594</v>
      </c>
      <c r="E86" s="112">
        <v>9.2157372878906144E-2</v>
      </c>
      <c r="F86" s="88"/>
      <c r="G86" s="112">
        <v>0</v>
      </c>
      <c r="H86" s="88">
        <v>1242.5</v>
      </c>
      <c r="I86" s="112">
        <v>7.1835342410314224E-2</v>
      </c>
      <c r="J86" s="88">
        <v>2419</v>
      </c>
      <c r="K86" s="112">
        <v>0.13985488393605644</v>
      </c>
      <c r="L86" s="102">
        <v>17296.5</v>
      </c>
      <c r="M86" s="89">
        <v>1</v>
      </c>
    </row>
    <row r="87" spans="1:15" ht="18" customHeight="1" x14ac:dyDescent="0.25">
      <c r="A87" s="84" t="s">
        <v>160</v>
      </c>
      <c r="B87" s="102">
        <v>130.94</v>
      </c>
      <c r="C87" s="112">
        <v>1</v>
      </c>
      <c r="D87" s="88"/>
      <c r="E87" s="112">
        <v>0</v>
      </c>
      <c r="F87" s="88"/>
      <c r="G87" s="112">
        <v>0</v>
      </c>
      <c r="H87" s="88"/>
      <c r="I87" s="112">
        <v>0</v>
      </c>
      <c r="J87" s="88"/>
      <c r="K87" s="112">
        <v>0</v>
      </c>
      <c r="L87" s="102">
        <v>130.94</v>
      </c>
      <c r="M87" s="89">
        <v>1</v>
      </c>
    </row>
    <row r="88" spans="1:15" ht="18" customHeight="1" x14ac:dyDescent="0.25">
      <c r="A88" s="84" t="s">
        <v>167</v>
      </c>
      <c r="B88" s="102">
        <v>60</v>
      </c>
      <c r="C88" s="112">
        <v>1</v>
      </c>
      <c r="D88" s="88"/>
      <c r="E88" s="112">
        <v>0</v>
      </c>
      <c r="F88" s="88"/>
      <c r="G88" s="112">
        <v>0</v>
      </c>
      <c r="H88" s="88"/>
      <c r="I88" s="112">
        <v>0</v>
      </c>
      <c r="J88" s="88"/>
      <c r="K88" s="112">
        <v>0</v>
      </c>
      <c r="L88" s="102">
        <v>60</v>
      </c>
      <c r="M88" s="89">
        <v>1</v>
      </c>
    </row>
    <row r="89" spans="1:15" ht="18" customHeight="1" x14ac:dyDescent="0.25">
      <c r="A89" s="84" t="s">
        <v>132</v>
      </c>
      <c r="B89" s="102">
        <v>9548</v>
      </c>
      <c r="C89" s="112">
        <v>0.85048768538725339</v>
      </c>
      <c r="D89" s="88"/>
      <c r="E89" s="112">
        <v>0</v>
      </c>
      <c r="F89" s="88">
        <v>1490</v>
      </c>
      <c r="G89" s="112">
        <v>0.1327216852981784</v>
      </c>
      <c r="H89" s="88">
        <v>188.5</v>
      </c>
      <c r="I89" s="112">
        <v>1.679062931456821E-2</v>
      </c>
      <c r="J89" s="88"/>
      <c r="K89" s="112">
        <v>0</v>
      </c>
      <c r="L89" s="102">
        <v>11226.5</v>
      </c>
      <c r="M89" s="89">
        <v>1</v>
      </c>
    </row>
    <row r="90" spans="1:15" ht="18" customHeight="1" x14ac:dyDescent="0.25">
      <c r="A90" s="87" t="s">
        <v>11</v>
      </c>
      <c r="B90" s="102">
        <v>162207.44</v>
      </c>
      <c r="C90" s="98">
        <v>0.91889872716270338</v>
      </c>
      <c r="D90" s="88">
        <v>3684.5</v>
      </c>
      <c r="E90" s="98">
        <v>2.0872546661429219E-2</v>
      </c>
      <c r="F90" s="88">
        <v>5123</v>
      </c>
      <c r="G90" s="98">
        <v>2.9021592223232973E-2</v>
      </c>
      <c r="H90" s="88">
        <v>1633.3</v>
      </c>
      <c r="I90" s="98">
        <v>9.2525798512993196E-3</v>
      </c>
      <c r="J90" s="88">
        <v>3875.5</v>
      </c>
      <c r="K90" s="98">
        <v>2.1954554101335035E-2</v>
      </c>
      <c r="L90" s="102">
        <v>176523.74000000002</v>
      </c>
      <c r="M90" s="89">
        <v>1</v>
      </c>
    </row>
    <row r="91" spans="1:15" ht="18" customHeight="1" x14ac:dyDescent="0.3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5" ht="18" customHeigh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5" ht="18" customHeight="1" x14ac:dyDescent="0.3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5" ht="18" customHeight="1" x14ac:dyDescent="0.3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5" ht="18" customHeight="1" x14ac:dyDescent="0.3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5" ht="18" customHeight="1" x14ac:dyDescent="0.3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8" customHeigh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8" customHeight="1" x14ac:dyDescent="0.3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8" customHeight="1" x14ac:dyDescent="0.3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8" customHeigh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8" customHeight="1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8" customHeigh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8" customHeight="1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8" customHeigh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8" customHeigh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8" customHeigh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8" customHeight="1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8" customHeigh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8" customHeigh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8" customHeigh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8" customHeight="1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8" customHeigh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8" customHeight="1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8" customHeigh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8" customHeight="1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8" customHeigh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8" customHeigh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8" customHeigh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8" customHeigh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8" customHeigh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8" customHeight="1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8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8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8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8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8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8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8" customHeigh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8" customHeight="1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8" customHeigh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8" customHeight="1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8" customHeigh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8" customHeight="1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8" customHeigh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</row>
  </sheetData>
  <mergeCells count="11">
    <mergeCell ref="A1:L1"/>
    <mergeCell ref="B2:C2"/>
    <mergeCell ref="D2:E2"/>
    <mergeCell ref="A47:L47"/>
    <mergeCell ref="B48:C48"/>
    <mergeCell ref="D48:E48"/>
    <mergeCell ref="F48:G48"/>
    <mergeCell ref="J48:K48"/>
    <mergeCell ref="H48:I48"/>
    <mergeCell ref="H2:I2"/>
    <mergeCell ref="F2:G2"/>
  </mergeCells>
  <printOptions horizontalCentered="1"/>
  <pageMargins left="0.7" right="0.7" top="0.75" bottom="0.75" header="0.3" footer="0.3"/>
  <pageSetup scale="49" fitToHeight="0" orientation="portrait" r:id="rId3"/>
  <rowBreaks count="1" manualBreakCount="1">
    <brk id="46" max="11" man="1"/>
  </rowBreaks>
  <colBreaks count="1" manualBreakCount="1">
    <brk id="12" max="1048575" man="1"/>
  </colBreaks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B9F3-77AF-4BE8-BFBA-290B3D7E6CD1}">
  <dimension ref="A1:T758"/>
  <sheetViews>
    <sheetView topLeftCell="A445" zoomScale="103" workbookViewId="0">
      <selection activeCell="D739" sqref="D739"/>
    </sheetView>
  </sheetViews>
  <sheetFormatPr defaultRowHeight="14.4" x14ac:dyDescent="0.3"/>
  <cols>
    <col min="1" max="1" width="31" customWidth="1"/>
    <col min="2" max="2" width="7.44140625" customWidth="1"/>
    <col min="3" max="3" width="10.44140625" customWidth="1"/>
    <col min="4" max="4" width="7.109375" style="36" customWidth="1"/>
    <col min="5" max="5" width="33.44140625" customWidth="1"/>
    <col min="6" max="6" width="43.21875" customWidth="1"/>
    <col min="7" max="7" width="20.5546875" customWidth="1"/>
    <col min="8" max="8" width="19.109375" customWidth="1"/>
    <col min="9" max="9" width="22.88671875" customWidth="1"/>
    <col min="10" max="10" width="8.109375" customWidth="1"/>
    <col min="11" max="11" width="5.44140625" customWidth="1"/>
    <col min="12" max="12" width="10.77734375" customWidth="1"/>
    <col min="13" max="13" width="13.44140625" customWidth="1"/>
    <col min="14" max="14" width="15.77734375" style="21" customWidth="1"/>
    <col min="20" max="20" width="9.5546875" style="31" customWidth="1"/>
  </cols>
  <sheetData>
    <row r="1" spans="1:16" x14ac:dyDescent="0.3">
      <c r="A1" s="12" t="s">
        <v>54</v>
      </c>
      <c r="B1" s="13" t="s">
        <v>53</v>
      </c>
      <c r="C1" s="9" t="s">
        <v>113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4" t="s">
        <v>64</v>
      </c>
      <c r="N1" s="13" t="s">
        <v>103</v>
      </c>
    </row>
    <row r="2" spans="1:16" x14ac:dyDescent="0.3">
      <c r="A2" s="15" t="s">
        <v>45</v>
      </c>
      <c r="B2" s="1">
        <v>2023</v>
      </c>
      <c r="C2" s="10">
        <v>45108</v>
      </c>
      <c r="D2" s="2" t="s">
        <v>65</v>
      </c>
      <c r="E2" s="1" t="s">
        <v>66</v>
      </c>
      <c r="F2" s="1" t="s">
        <v>67</v>
      </c>
      <c r="G2" s="1" t="s">
        <v>68</v>
      </c>
      <c r="H2" s="2" t="s">
        <v>69</v>
      </c>
      <c r="I2" s="1" t="s">
        <v>0</v>
      </c>
      <c r="J2" s="1" t="s">
        <v>9</v>
      </c>
      <c r="K2" s="1">
        <v>3</v>
      </c>
      <c r="L2" s="1">
        <v>36.5</v>
      </c>
      <c r="M2" s="16">
        <v>1826.03</v>
      </c>
      <c r="N2" s="39">
        <f>Data[[#This Row],[Gross Wages]]/Data[[#This Row],[No. of Hours Worked]]</f>
        <v>50.028219178082189</v>
      </c>
      <c r="P2" s="33"/>
    </row>
    <row r="3" spans="1:16" x14ac:dyDescent="0.3">
      <c r="A3" s="15" t="s">
        <v>45</v>
      </c>
      <c r="B3" s="1">
        <v>2023</v>
      </c>
      <c r="C3" s="10">
        <v>45108</v>
      </c>
      <c r="D3" s="2" t="s">
        <v>65</v>
      </c>
      <c r="E3" s="1" t="s">
        <v>66</v>
      </c>
      <c r="F3" s="1" t="s">
        <v>67</v>
      </c>
      <c r="G3" s="1" t="s">
        <v>68</v>
      </c>
      <c r="H3" s="2" t="s">
        <v>69</v>
      </c>
      <c r="I3" s="1" t="s">
        <v>0</v>
      </c>
      <c r="J3" s="1" t="s">
        <v>10</v>
      </c>
      <c r="K3" s="1">
        <v>0</v>
      </c>
      <c r="L3" s="1">
        <v>0</v>
      </c>
      <c r="M3" s="16"/>
      <c r="N3" s="39" t="e">
        <f>Data[[#This Row],[Gross Wages]]/Data[[#This Row],[No. of Hours Worked]]</f>
        <v>#DIV/0!</v>
      </c>
      <c r="P3" s="33"/>
    </row>
    <row r="4" spans="1:16" x14ac:dyDescent="0.3">
      <c r="A4" s="15" t="s">
        <v>46</v>
      </c>
      <c r="B4" s="1">
        <v>2023</v>
      </c>
      <c r="C4" s="10">
        <v>45108</v>
      </c>
      <c r="D4" s="2" t="s">
        <v>65</v>
      </c>
      <c r="E4" s="1" t="s">
        <v>66</v>
      </c>
      <c r="F4" s="1" t="s">
        <v>72</v>
      </c>
      <c r="G4" s="1" t="s">
        <v>73</v>
      </c>
      <c r="H4" s="2" t="s">
        <v>74</v>
      </c>
      <c r="I4" s="1" t="s">
        <v>0</v>
      </c>
      <c r="J4" s="1" t="s">
        <v>9</v>
      </c>
      <c r="K4" s="1">
        <v>1</v>
      </c>
      <c r="L4" s="1">
        <v>4</v>
      </c>
      <c r="M4" s="16">
        <v>192.8</v>
      </c>
      <c r="N4" s="39">
        <f>Data[[#This Row],[Gross Wages]]/Data[[#This Row],[No. of Hours Worked]]</f>
        <v>48.2</v>
      </c>
      <c r="P4" s="33"/>
    </row>
    <row r="5" spans="1:16" x14ac:dyDescent="0.3">
      <c r="A5" s="15" t="s">
        <v>46</v>
      </c>
      <c r="B5" s="1">
        <v>2023</v>
      </c>
      <c r="C5" s="10">
        <v>45108</v>
      </c>
      <c r="D5" s="2" t="s">
        <v>65</v>
      </c>
      <c r="E5" s="1" t="s">
        <v>66</v>
      </c>
      <c r="F5" s="1" t="s">
        <v>70</v>
      </c>
      <c r="G5" s="1" t="s">
        <v>68</v>
      </c>
      <c r="H5" s="2" t="s">
        <v>71</v>
      </c>
      <c r="I5" s="1" t="s">
        <v>0</v>
      </c>
      <c r="J5" s="1" t="s">
        <v>9</v>
      </c>
      <c r="K5" s="1">
        <v>2</v>
      </c>
      <c r="L5" s="1">
        <v>64</v>
      </c>
      <c r="M5" s="16">
        <v>3259.52</v>
      </c>
      <c r="N5" s="39">
        <f>Data[[#This Row],[Gross Wages]]/Data[[#This Row],[No. of Hours Worked]]</f>
        <v>50.93</v>
      </c>
      <c r="P5" s="33"/>
    </row>
    <row r="6" spans="1:16" x14ac:dyDescent="0.3">
      <c r="A6" s="15" t="s">
        <v>46</v>
      </c>
      <c r="B6" s="1">
        <v>2023</v>
      </c>
      <c r="C6" s="10">
        <v>45108</v>
      </c>
      <c r="D6" s="2" t="s">
        <v>65</v>
      </c>
      <c r="E6" s="1" t="s">
        <v>66</v>
      </c>
      <c r="F6" s="1" t="s">
        <v>70</v>
      </c>
      <c r="G6" s="1" t="s">
        <v>68</v>
      </c>
      <c r="H6" s="2" t="s">
        <v>71</v>
      </c>
      <c r="I6" s="1" t="s">
        <v>0</v>
      </c>
      <c r="J6" s="1" t="s">
        <v>10</v>
      </c>
      <c r="K6" s="1">
        <v>0</v>
      </c>
      <c r="L6" s="1">
        <v>0</v>
      </c>
      <c r="M6" s="16"/>
      <c r="N6" s="39" t="e">
        <f>Data[[#This Row],[Gross Wages]]/Data[[#This Row],[No. of Hours Worked]]</f>
        <v>#DIV/0!</v>
      </c>
      <c r="P6" s="33"/>
    </row>
    <row r="7" spans="1:16" x14ac:dyDescent="0.3">
      <c r="A7" s="15" t="s">
        <v>46</v>
      </c>
      <c r="B7" s="1">
        <v>2023</v>
      </c>
      <c r="C7" s="10">
        <v>45108</v>
      </c>
      <c r="D7" s="2" t="s">
        <v>65</v>
      </c>
      <c r="E7" s="1" t="s">
        <v>66</v>
      </c>
      <c r="F7" s="1" t="s">
        <v>72</v>
      </c>
      <c r="G7" s="1" t="s">
        <v>73</v>
      </c>
      <c r="H7" s="2" t="s">
        <v>74</v>
      </c>
      <c r="I7" s="1" t="s">
        <v>0</v>
      </c>
      <c r="J7" s="1" t="s">
        <v>10</v>
      </c>
      <c r="K7" s="1">
        <v>0</v>
      </c>
      <c r="L7" s="1">
        <v>0</v>
      </c>
      <c r="M7" s="16"/>
      <c r="N7" s="39" t="e">
        <f>Data[[#This Row],[Gross Wages]]/Data[[#This Row],[No. of Hours Worked]]</f>
        <v>#DIV/0!</v>
      </c>
      <c r="P7" s="33"/>
    </row>
    <row r="8" spans="1:16" x14ac:dyDescent="0.3">
      <c r="A8" s="15" t="s">
        <v>144</v>
      </c>
      <c r="B8" s="1">
        <v>2023</v>
      </c>
      <c r="C8" s="10">
        <v>45108</v>
      </c>
      <c r="D8" s="34" t="s">
        <v>65</v>
      </c>
      <c r="E8" s="1" t="s">
        <v>66</v>
      </c>
      <c r="F8" s="1" t="s">
        <v>95</v>
      </c>
      <c r="G8" s="1" t="s">
        <v>68</v>
      </c>
      <c r="H8" s="2" t="s">
        <v>96</v>
      </c>
      <c r="I8" s="1" t="s">
        <v>0</v>
      </c>
      <c r="J8" s="1" t="s">
        <v>9</v>
      </c>
      <c r="K8" s="1">
        <v>2</v>
      </c>
      <c r="L8" s="1">
        <v>31.5</v>
      </c>
      <c r="M8" s="28">
        <v>1856.75</v>
      </c>
      <c r="N8" s="39">
        <f>Data[[#This Row],[Gross Wages]]/Data[[#This Row],[No. of Hours Worked]]</f>
        <v>58.944444444444443</v>
      </c>
      <c r="P8" s="33"/>
    </row>
    <row r="9" spans="1:16" x14ac:dyDescent="0.3">
      <c r="A9" s="15" t="s">
        <v>144</v>
      </c>
      <c r="B9" s="1">
        <v>2023</v>
      </c>
      <c r="C9" s="10">
        <v>45108</v>
      </c>
      <c r="D9" s="34" t="s">
        <v>65</v>
      </c>
      <c r="E9" s="1" t="s">
        <v>66</v>
      </c>
      <c r="F9" s="1" t="s">
        <v>72</v>
      </c>
      <c r="G9" s="1" t="s">
        <v>73</v>
      </c>
      <c r="H9" s="2" t="s">
        <v>74</v>
      </c>
      <c r="I9" s="1" t="s">
        <v>0</v>
      </c>
      <c r="J9" s="1" t="s">
        <v>9</v>
      </c>
      <c r="K9" s="1">
        <v>2</v>
      </c>
      <c r="L9" s="1">
        <v>48</v>
      </c>
      <c r="M9" s="28">
        <v>2313.6</v>
      </c>
      <c r="N9" s="39">
        <f>Data[[#This Row],[Gross Wages]]/Data[[#This Row],[No. of Hours Worked]]</f>
        <v>48.199999999999996</v>
      </c>
      <c r="P9" s="33"/>
    </row>
    <row r="10" spans="1:16" x14ac:dyDescent="0.3">
      <c r="A10" s="15" t="s">
        <v>144</v>
      </c>
      <c r="B10" s="1">
        <v>2023</v>
      </c>
      <c r="C10" s="10">
        <v>45108</v>
      </c>
      <c r="D10" s="34" t="s">
        <v>65</v>
      </c>
      <c r="E10" s="1" t="s">
        <v>66</v>
      </c>
      <c r="F10" s="1" t="s">
        <v>95</v>
      </c>
      <c r="G10" s="1" t="s">
        <v>68</v>
      </c>
      <c r="H10" s="2" t="s">
        <v>96</v>
      </c>
      <c r="I10" s="1" t="s">
        <v>3</v>
      </c>
      <c r="J10" s="1" t="s">
        <v>9</v>
      </c>
      <c r="K10" s="1">
        <v>1</v>
      </c>
      <c r="L10" s="1">
        <v>12</v>
      </c>
      <c r="M10" s="28">
        <v>1200</v>
      </c>
      <c r="N10" s="39">
        <f>Data[[#This Row],[Gross Wages]]/Data[[#This Row],[No. of Hours Worked]]</f>
        <v>100</v>
      </c>
      <c r="P10" s="33"/>
    </row>
    <row r="11" spans="1:16" x14ac:dyDescent="0.3">
      <c r="A11" s="15" t="s">
        <v>42</v>
      </c>
      <c r="B11" s="1">
        <v>2023</v>
      </c>
      <c r="C11" s="10">
        <v>45139</v>
      </c>
      <c r="D11" s="2" t="s">
        <v>65</v>
      </c>
      <c r="E11" s="1" t="s">
        <v>66</v>
      </c>
      <c r="F11" s="1" t="s">
        <v>67</v>
      </c>
      <c r="G11" s="1" t="s">
        <v>68</v>
      </c>
      <c r="H11" s="2" t="s">
        <v>69</v>
      </c>
      <c r="I11" s="1" t="s">
        <v>0</v>
      </c>
      <c r="J11" s="1" t="s">
        <v>9</v>
      </c>
      <c r="K11" s="1">
        <v>3</v>
      </c>
      <c r="L11" s="1">
        <v>302</v>
      </c>
      <c r="M11" s="16">
        <v>14256.6</v>
      </c>
      <c r="N11" s="39">
        <f>Data[[#This Row],[Gross Wages]]/Data[[#This Row],[No. of Hours Worked]]</f>
        <v>47.20728476821192</v>
      </c>
      <c r="P11" s="33"/>
    </row>
    <row r="12" spans="1:16" x14ac:dyDescent="0.3">
      <c r="A12" s="15" t="s">
        <v>42</v>
      </c>
      <c r="B12" s="1">
        <v>2023</v>
      </c>
      <c r="C12" s="10">
        <v>45139</v>
      </c>
      <c r="D12" s="2" t="s">
        <v>65</v>
      </c>
      <c r="E12" s="1" t="s">
        <v>66</v>
      </c>
      <c r="F12" s="1" t="s">
        <v>67</v>
      </c>
      <c r="G12" s="1" t="s">
        <v>68</v>
      </c>
      <c r="H12" s="2" t="s">
        <v>69</v>
      </c>
      <c r="I12" s="1" t="s">
        <v>0</v>
      </c>
      <c r="J12" s="1" t="s">
        <v>10</v>
      </c>
      <c r="K12" s="1">
        <v>0</v>
      </c>
      <c r="L12" s="1">
        <v>0</v>
      </c>
      <c r="M12" s="16"/>
      <c r="N12" s="39" t="e">
        <f>Data[[#This Row],[Gross Wages]]/Data[[#This Row],[No. of Hours Worked]]</f>
        <v>#DIV/0!</v>
      </c>
      <c r="P12" s="33"/>
    </row>
    <row r="13" spans="1:16" x14ac:dyDescent="0.3">
      <c r="A13" s="15" t="s">
        <v>46</v>
      </c>
      <c r="B13" s="1">
        <v>2023</v>
      </c>
      <c r="C13" s="10">
        <v>45139</v>
      </c>
      <c r="D13" s="2" t="s">
        <v>65</v>
      </c>
      <c r="E13" s="1" t="s">
        <v>66</v>
      </c>
      <c r="F13" s="1" t="s">
        <v>72</v>
      </c>
      <c r="G13" s="1" t="s">
        <v>73</v>
      </c>
      <c r="H13" s="2" t="s">
        <v>74</v>
      </c>
      <c r="I13" s="1" t="s">
        <v>0</v>
      </c>
      <c r="J13" s="1" t="s">
        <v>9</v>
      </c>
      <c r="K13" s="1">
        <v>1</v>
      </c>
      <c r="L13" s="1">
        <v>8</v>
      </c>
      <c r="M13" s="16">
        <v>385.6</v>
      </c>
      <c r="N13" s="39">
        <f>Data[[#This Row],[Gross Wages]]/Data[[#This Row],[No. of Hours Worked]]</f>
        <v>48.2</v>
      </c>
      <c r="P13" s="33"/>
    </row>
    <row r="14" spans="1:16" x14ac:dyDescent="0.3">
      <c r="A14" s="15" t="s">
        <v>46</v>
      </c>
      <c r="B14" s="1">
        <v>2023</v>
      </c>
      <c r="C14" s="10">
        <v>45139</v>
      </c>
      <c r="D14" s="2" t="s">
        <v>65</v>
      </c>
      <c r="E14" s="1" t="s">
        <v>66</v>
      </c>
      <c r="F14" s="1" t="s">
        <v>72</v>
      </c>
      <c r="G14" s="1" t="s">
        <v>73</v>
      </c>
      <c r="H14" s="2" t="s">
        <v>74</v>
      </c>
      <c r="I14" s="1" t="s">
        <v>0</v>
      </c>
      <c r="J14" s="1" t="s">
        <v>10</v>
      </c>
      <c r="K14" s="1">
        <v>0</v>
      </c>
      <c r="L14" s="1">
        <v>0</v>
      </c>
      <c r="M14" s="16"/>
      <c r="N14" s="39" t="e">
        <f>Data[[#This Row],[Gross Wages]]/Data[[#This Row],[No. of Hours Worked]]</f>
        <v>#DIV/0!</v>
      </c>
      <c r="P14" s="33"/>
    </row>
    <row r="15" spans="1:16" x14ac:dyDescent="0.3">
      <c r="A15" s="15" t="s">
        <v>49</v>
      </c>
      <c r="B15" s="1">
        <v>2023</v>
      </c>
      <c r="C15" s="10">
        <v>45139</v>
      </c>
      <c r="D15" s="2" t="s">
        <v>65</v>
      </c>
      <c r="E15" s="1" t="s">
        <v>66</v>
      </c>
      <c r="F15" s="1" t="s">
        <v>75</v>
      </c>
      <c r="G15" s="1" t="s">
        <v>68</v>
      </c>
      <c r="H15" s="2" t="s">
        <v>76</v>
      </c>
      <c r="I15" s="1" t="s">
        <v>0</v>
      </c>
      <c r="J15" s="1" t="s">
        <v>9</v>
      </c>
      <c r="K15" s="1">
        <v>1</v>
      </c>
      <c r="L15" s="1">
        <v>4</v>
      </c>
      <c r="M15" s="16">
        <v>296.64</v>
      </c>
      <c r="N15" s="39">
        <f>Data[[#This Row],[Gross Wages]]/Data[[#This Row],[No. of Hours Worked]]</f>
        <v>74.16</v>
      </c>
      <c r="P15" s="33"/>
    </row>
    <row r="16" spans="1:16" x14ac:dyDescent="0.3">
      <c r="A16" s="15" t="s">
        <v>49</v>
      </c>
      <c r="B16" s="1">
        <v>2023</v>
      </c>
      <c r="C16" s="10">
        <v>45139</v>
      </c>
      <c r="D16" s="2" t="s">
        <v>65</v>
      </c>
      <c r="E16" s="1" t="s">
        <v>66</v>
      </c>
      <c r="F16" s="1" t="s">
        <v>67</v>
      </c>
      <c r="G16" s="1" t="s">
        <v>68</v>
      </c>
      <c r="H16" s="2" t="s">
        <v>69</v>
      </c>
      <c r="I16" s="1" t="s">
        <v>0</v>
      </c>
      <c r="J16" s="1" t="s">
        <v>9</v>
      </c>
      <c r="K16" s="1">
        <v>6</v>
      </c>
      <c r="L16" s="1">
        <v>362</v>
      </c>
      <c r="M16" s="16">
        <v>25018.959999999999</v>
      </c>
      <c r="N16" s="39">
        <f>Data[[#This Row],[Gross Wages]]/Data[[#This Row],[No. of Hours Worked]]</f>
        <v>69.11314917127072</v>
      </c>
      <c r="P16" s="33"/>
    </row>
    <row r="17" spans="1:16" x14ac:dyDescent="0.3">
      <c r="A17" s="15" t="s">
        <v>49</v>
      </c>
      <c r="B17" s="1">
        <v>2023</v>
      </c>
      <c r="C17" s="10">
        <v>45139</v>
      </c>
      <c r="D17" s="2" t="s">
        <v>65</v>
      </c>
      <c r="E17" s="1" t="s">
        <v>66</v>
      </c>
      <c r="F17" s="1" t="s">
        <v>67</v>
      </c>
      <c r="G17" s="1" t="s">
        <v>68</v>
      </c>
      <c r="H17" s="2" t="s">
        <v>69</v>
      </c>
      <c r="I17" s="1" t="s">
        <v>0</v>
      </c>
      <c r="J17" s="1" t="s">
        <v>10</v>
      </c>
      <c r="K17" s="1">
        <v>0</v>
      </c>
      <c r="L17" s="1">
        <v>0</v>
      </c>
      <c r="M17" s="16"/>
      <c r="N17" s="39" t="e">
        <f>Data[[#This Row],[Gross Wages]]/Data[[#This Row],[No. of Hours Worked]]</f>
        <v>#DIV/0!</v>
      </c>
      <c r="P17" s="33"/>
    </row>
    <row r="18" spans="1:16" x14ac:dyDescent="0.3">
      <c r="A18" s="15" t="s">
        <v>49</v>
      </c>
      <c r="B18" s="1">
        <v>2023</v>
      </c>
      <c r="C18" s="10">
        <v>45139</v>
      </c>
      <c r="D18" s="2" t="s">
        <v>65</v>
      </c>
      <c r="E18" s="1" t="s">
        <v>66</v>
      </c>
      <c r="F18" s="1" t="s">
        <v>75</v>
      </c>
      <c r="G18" s="1" t="s">
        <v>68</v>
      </c>
      <c r="H18" s="2" t="s">
        <v>76</v>
      </c>
      <c r="I18" s="1" t="s">
        <v>0</v>
      </c>
      <c r="J18" s="1" t="s">
        <v>10</v>
      </c>
      <c r="K18" s="1">
        <v>0</v>
      </c>
      <c r="L18" s="1">
        <v>0</v>
      </c>
      <c r="M18" s="16"/>
      <c r="N18" s="39" t="e">
        <f>Data[[#This Row],[Gross Wages]]/Data[[#This Row],[No. of Hours Worked]]</f>
        <v>#DIV/0!</v>
      </c>
      <c r="P18" s="33"/>
    </row>
    <row r="19" spans="1:16" x14ac:dyDescent="0.3">
      <c r="A19" s="15" t="s">
        <v>144</v>
      </c>
      <c r="B19" s="1">
        <v>2023</v>
      </c>
      <c r="C19" s="10">
        <v>45139</v>
      </c>
      <c r="D19" s="34" t="s">
        <v>65</v>
      </c>
      <c r="E19" s="1" t="s">
        <v>66</v>
      </c>
      <c r="F19" s="1" t="s">
        <v>72</v>
      </c>
      <c r="G19" s="1" t="s">
        <v>73</v>
      </c>
      <c r="H19" s="2" t="s">
        <v>74</v>
      </c>
      <c r="I19" s="1" t="s">
        <v>0</v>
      </c>
      <c r="J19" s="1" t="s">
        <v>9</v>
      </c>
      <c r="K19" s="1">
        <v>5</v>
      </c>
      <c r="L19" s="1">
        <v>521.5</v>
      </c>
      <c r="M19" s="28">
        <v>25976.27</v>
      </c>
      <c r="N19" s="39">
        <f>Data[[#This Row],[Gross Wages]]/Data[[#This Row],[No. of Hours Worked]]</f>
        <v>49.810680728667307</v>
      </c>
      <c r="P19" s="33"/>
    </row>
    <row r="20" spans="1:16" x14ac:dyDescent="0.3">
      <c r="A20" s="15" t="s">
        <v>144</v>
      </c>
      <c r="B20" s="1">
        <v>2023</v>
      </c>
      <c r="C20" s="10">
        <v>45139</v>
      </c>
      <c r="D20" s="34" t="s">
        <v>65</v>
      </c>
      <c r="E20" s="1" t="s">
        <v>66</v>
      </c>
      <c r="F20" s="1" t="s">
        <v>95</v>
      </c>
      <c r="G20" s="1" t="s">
        <v>68</v>
      </c>
      <c r="H20" s="2" t="s">
        <v>96</v>
      </c>
      <c r="I20" s="1" t="s">
        <v>0</v>
      </c>
      <c r="J20" s="1" t="s">
        <v>9</v>
      </c>
      <c r="K20" s="1">
        <v>2</v>
      </c>
      <c r="L20" s="1">
        <v>156</v>
      </c>
      <c r="M20" s="28">
        <v>10282</v>
      </c>
      <c r="N20" s="39">
        <f>Data[[#This Row],[Gross Wages]]/Data[[#This Row],[No. of Hours Worked]]</f>
        <v>65.910256410256409</v>
      </c>
      <c r="P20" s="33"/>
    </row>
    <row r="21" spans="1:16" x14ac:dyDescent="0.3">
      <c r="A21" s="15" t="s">
        <v>144</v>
      </c>
      <c r="B21" s="1">
        <v>2023</v>
      </c>
      <c r="C21" s="10">
        <v>45139</v>
      </c>
      <c r="D21" s="34" t="s">
        <v>65</v>
      </c>
      <c r="E21" s="1" t="s">
        <v>66</v>
      </c>
      <c r="F21" s="1" t="s">
        <v>95</v>
      </c>
      <c r="G21" s="1" t="s">
        <v>68</v>
      </c>
      <c r="H21" s="2" t="s">
        <v>96</v>
      </c>
      <c r="I21" s="1" t="s">
        <v>3</v>
      </c>
      <c r="J21" s="1" t="s">
        <v>9</v>
      </c>
      <c r="K21" s="1">
        <v>1</v>
      </c>
      <c r="L21" s="1">
        <v>50</v>
      </c>
      <c r="M21" s="28">
        <v>5000</v>
      </c>
      <c r="N21" s="39">
        <f>Data[[#This Row],[Gross Wages]]/Data[[#This Row],[No. of Hours Worked]]</f>
        <v>100</v>
      </c>
      <c r="P21" s="33"/>
    </row>
    <row r="22" spans="1:16" x14ac:dyDescent="0.3">
      <c r="A22" s="15" t="s">
        <v>45</v>
      </c>
      <c r="B22" s="1">
        <v>2023</v>
      </c>
      <c r="C22" s="10">
        <v>45170</v>
      </c>
      <c r="D22" s="2" t="s">
        <v>65</v>
      </c>
      <c r="E22" s="1" t="s">
        <v>66</v>
      </c>
      <c r="F22" s="1" t="s">
        <v>67</v>
      </c>
      <c r="G22" s="1" t="s">
        <v>68</v>
      </c>
      <c r="H22" s="2" t="s">
        <v>69</v>
      </c>
      <c r="I22" s="1" t="s">
        <v>0</v>
      </c>
      <c r="J22" s="1" t="s">
        <v>9</v>
      </c>
      <c r="K22" s="1">
        <v>2</v>
      </c>
      <c r="L22" s="1">
        <v>158</v>
      </c>
      <c r="M22" s="16">
        <v>6666.5</v>
      </c>
      <c r="N22" s="39">
        <f>Data[[#This Row],[Gross Wages]]/Data[[#This Row],[No. of Hours Worked]]</f>
        <v>42.193037974683541</v>
      </c>
      <c r="P22" s="33"/>
    </row>
    <row r="23" spans="1:16" x14ac:dyDescent="0.3">
      <c r="A23" s="15" t="s">
        <v>45</v>
      </c>
      <c r="B23" s="1">
        <v>2023</v>
      </c>
      <c r="C23" s="10">
        <v>45170</v>
      </c>
      <c r="D23" s="2" t="s">
        <v>65</v>
      </c>
      <c r="E23" s="1" t="s">
        <v>66</v>
      </c>
      <c r="F23" s="1" t="s">
        <v>67</v>
      </c>
      <c r="G23" s="1" t="s">
        <v>68</v>
      </c>
      <c r="H23" s="2" t="s">
        <v>69</v>
      </c>
      <c r="I23" s="1" t="s">
        <v>0</v>
      </c>
      <c r="J23" s="1" t="s">
        <v>10</v>
      </c>
      <c r="K23" s="1">
        <v>0</v>
      </c>
      <c r="L23" s="1">
        <v>0</v>
      </c>
      <c r="M23" s="16"/>
      <c r="N23" s="39" t="e">
        <f>Data[[#This Row],[Gross Wages]]/Data[[#This Row],[No. of Hours Worked]]</f>
        <v>#DIV/0!</v>
      </c>
      <c r="P23" s="33"/>
    </row>
    <row r="24" spans="1:16" x14ac:dyDescent="0.3">
      <c r="A24" s="15" t="s">
        <v>48</v>
      </c>
      <c r="B24" s="1">
        <v>2023</v>
      </c>
      <c r="C24" s="10">
        <v>45170</v>
      </c>
      <c r="D24" s="2" t="s">
        <v>65</v>
      </c>
      <c r="E24" s="1" t="s">
        <v>66</v>
      </c>
      <c r="F24" s="1" t="s">
        <v>84</v>
      </c>
      <c r="G24" s="1" t="s">
        <v>68</v>
      </c>
      <c r="H24" s="2" t="s">
        <v>85</v>
      </c>
      <c r="I24" s="1" t="s">
        <v>0</v>
      </c>
      <c r="J24" s="1" t="s">
        <v>9</v>
      </c>
      <c r="K24" s="1">
        <v>3</v>
      </c>
      <c r="L24" s="1">
        <v>203</v>
      </c>
      <c r="M24" s="28">
        <v>8774</v>
      </c>
      <c r="N24" s="39">
        <f>Data[[#This Row],[Gross Wages]]/Data[[#This Row],[No. of Hours Worked]]</f>
        <v>43.221674876847288</v>
      </c>
      <c r="P24" s="33"/>
    </row>
    <row r="25" spans="1:16" x14ac:dyDescent="0.3">
      <c r="A25" s="15" t="s">
        <v>49</v>
      </c>
      <c r="B25" s="1">
        <v>2023</v>
      </c>
      <c r="C25" s="10">
        <v>45170</v>
      </c>
      <c r="D25" s="2" t="s">
        <v>65</v>
      </c>
      <c r="E25" s="1" t="s">
        <v>66</v>
      </c>
      <c r="F25" s="1" t="s">
        <v>75</v>
      </c>
      <c r="G25" s="1" t="s">
        <v>68</v>
      </c>
      <c r="H25" s="2" t="s">
        <v>76</v>
      </c>
      <c r="I25" s="1" t="s">
        <v>0</v>
      </c>
      <c r="J25" s="1" t="s">
        <v>9</v>
      </c>
      <c r="K25" s="1">
        <v>1</v>
      </c>
      <c r="L25" s="1">
        <v>25</v>
      </c>
      <c r="M25" s="16">
        <v>1854</v>
      </c>
      <c r="N25" s="39">
        <f>Data[[#This Row],[Gross Wages]]/Data[[#This Row],[No. of Hours Worked]]</f>
        <v>74.16</v>
      </c>
      <c r="P25" s="33"/>
    </row>
    <row r="26" spans="1:16" x14ac:dyDescent="0.3">
      <c r="A26" s="15" t="s">
        <v>49</v>
      </c>
      <c r="B26" s="1">
        <v>2023</v>
      </c>
      <c r="C26" s="10">
        <v>45170</v>
      </c>
      <c r="D26" s="2" t="s">
        <v>65</v>
      </c>
      <c r="E26" s="1" t="s">
        <v>66</v>
      </c>
      <c r="F26" s="1" t="s">
        <v>67</v>
      </c>
      <c r="G26" s="1" t="s">
        <v>68</v>
      </c>
      <c r="H26" s="2" t="s">
        <v>69</v>
      </c>
      <c r="I26" s="1" t="s">
        <v>0</v>
      </c>
      <c r="J26" s="1" t="s">
        <v>9</v>
      </c>
      <c r="K26" s="1">
        <v>4</v>
      </c>
      <c r="L26" s="1">
        <v>429</v>
      </c>
      <c r="M26" s="16">
        <v>29562.39</v>
      </c>
      <c r="N26" s="39">
        <f>Data[[#This Row],[Gross Wages]]/Data[[#This Row],[No. of Hours Worked]]</f>
        <v>68.91</v>
      </c>
      <c r="P26" s="33"/>
    </row>
    <row r="27" spans="1:16" x14ac:dyDescent="0.3">
      <c r="A27" s="15" t="s">
        <v>49</v>
      </c>
      <c r="B27" s="1">
        <v>2023</v>
      </c>
      <c r="C27" s="10">
        <v>45170</v>
      </c>
      <c r="D27" s="2" t="s">
        <v>65</v>
      </c>
      <c r="E27" s="1" t="s">
        <v>66</v>
      </c>
      <c r="F27" s="1" t="s">
        <v>67</v>
      </c>
      <c r="G27" s="1" t="s">
        <v>68</v>
      </c>
      <c r="H27" s="2" t="s">
        <v>69</v>
      </c>
      <c r="I27" s="1" t="s">
        <v>0</v>
      </c>
      <c r="J27" s="1" t="s">
        <v>10</v>
      </c>
      <c r="K27" s="1">
        <v>0</v>
      </c>
      <c r="L27" s="1">
        <v>0</v>
      </c>
      <c r="M27" s="16"/>
      <c r="N27" s="39" t="e">
        <f>Data[[#This Row],[Gross Wages]]/Data[[#This Row],[No. of Hours Worked]]</f>
        <v>#DIV/0!</v>
      </c>
      <c r="P27" s="33"/>
    </row>
    <row r="28" spans="1:16" x14ac:dyDescent="0.3">
      <c r="A28" s="15" t="s">
        <v>49</v>
      </c>
      <c r="B28" s="1">
        <v>2023</v>
      </c>
      <c r="C28" s="10">
        <v>45170</v>
      </c>
      <c r="D28" s="2" t="s">
        <v>65</v>
      </c>
      <c r="E28" s="1" t="s">
        <v>66</v>
      </c>
      <c r="F28" s="1" t="s">
        <v>75</v>
      </c>
      <c r="G28" s="1" t="s">
        <v>68</v>
      </c>
      <c r="H28" s="2" t="s">
        <v>76</v>
      </c>
      <c r="I28" s="1" t="s">
        <v>0</v>
      </c>
      <c r="J28" s="1" t="s">
        <v>10</v>
      </c>
      <c r="K28" s="1">
        <v>0</v>
      </c>
      <c r="L28" s="1">
        <v>0</v>
      </c>
      <c r="M28" s="16"/>
      <c r="N28" s="39" t="e">
        <f>Data[[#This Row],[Gross Wages]]/Data[[#This Row],[No. of Hours Worked]]</f>
        <v>#DIV/0!</v>
      </c>
      <c r="P28" s="33"/>
    </row>
    <row r="29" spans="1:16" x14ac:dyDescent="0.3">
      <c r="A29" s="15" t="s">
        <v>144</v>
      </c>
      <c r="B29" s="1">
        <v>2023</v>
      </c>
      <c r="C29" s="10">
        <v>45170</v>
      </c>
      <c r="D29" s="34" t="s">
        <v>65</v>
      </c>
      <c r="E29" s="1" t="s">
        <v>66</v>
      </c>
      <c r="F29" s="1" t="s">
        <v>95</v>
      </c>
      <c r="G29" s="1" t="s">
        <v>68</v>
      </c>
      <c r="H29" s="2" t="s">
        <v>96</v>
      </c>
      <c r="I29" s="1" t="s">
        <v>1</v>
      </c>
      <c r="J29" s="1" t="s">
        <v>9</v>
      </c>
      <c r="K29" s="1">
        <v>1</v>
      </c>
      <c r="L29" s="1">
        <v>88</v>
      </c>
      <c r="M29" s="28">
        <v>4893.04</v>
      </c>
      <c r="N29" s="39">
        <f>Data[[#This Row],[Gross Wages]]/Data[[#This Row],[No. of Hours Worked]]</f>
        <v>55.602727272727272</v>
      </c>
      <c r="P29" s="33"/>
    </row>
    <row r="30" spans="1:16" x14ac:dyDescent="0.3">
      <c r="A30" s="15" t="s">
        <v>144</v>
      </c>
      <c r="B30" s="1">
        <v>2023</v>
      </c>
      <c r="C30" s="10">
        <v>45170</v>
      </c>
      <c r="D30" s="34" t="s">
        <v>65</v>
      </c>
      <c r="E30" s="1" t="s">
        <v>66</v>
      </c>
      <c r="F30" s="1" t="s">
        <v>145</v>
      </c>
      <c r="G30" s="1" t="s">
        <v>68</v>
      </c>
      <c r="H30" s="2" t="s">
        <v>146</v>
      </c>
      <c r="I30" s="1" t="s">
        <v>111</v>
      </c>
      <c r="J30" s="1" t="s">
        <v>9</v>
      </c>
      <c r="K30" s="1">
        <v>1</v>
      </c>
      <c r="L30" s="1">
        <v>152</v>
      </c>
      <c r="M30" s="28">
        <v>7588.4</v>
      </c>
      <c r="N30" s="39">
        <f>Data[[#This Row],[Gross Wages]]/Data[[#This Row],[No. of Hours Worked]]</f>
        <v>49.923684210526311</v>
      </c>
      <c r="P30" s="33"/>
    </row>
    <row r="31" spans="1:16" x14ac:dyDescent="0.3">
      <c r="A31" s="15" t="s">
        <v>144</v>
      </c>
      <c r="B31" s="1">
        <v>2023</v>
      </c>
      <c r="C31" s="10">
        <v>45170</v>
      </c>
      <c r="D31" s="34" t="s">
        <v>65</v>
      </c>
      <c r="E31" s="1" t="s">
        <v>66</v>
      </c>
      <c r="F31" s="1" t="s">
        <v>95</v>
      </c>
      <c r="G31" s="1" t="s">
        <v>68</v>
      </c>
      <c r="H31" s="2" t="s">
        <v>96</v>
      </c>
      <c r="I31" s="1" t="s">
        <v>3</v>
      </c>
      <c r="J31" s="1" t="s">
        <v>9</v>
      </c>
      <c r="K31" s="1">
        <v>1</v>
      </c>
      <c r="L31" s="1">
        <v>120</v>
      </c>
      <c r="M31" s="28">
        <v>12000</v>
      </c>
      <c r="N31" s="39">
        <f>Data[[#This Row],[Gross Wages]]/Data[[#This Row],[No. of Hours Worked]]</f>
        <v>100</v>
      </c>
      <c r="P31" s="33"/>
    </row>
    <row r="32" spans="1:16" x14ac:dyDescent="0.3">
      <c r="A32" s="15" t="s">
        <v>144</v>
      </c>
      <c r="B32" s="1">
        <v>2023</v>
      </c>
      <c r="C32" s="10">
        <v>45170</v>
      </c>
      <c r="D32" s="34" t="s">
        <v>65</v>
      </c>
      <c r="E32" s="1" t="s">
        <v>66</v>
      </c>
      <c r="F32" s="1" t="s">
        <v>95</v>
      </c>
      <c r="G32" s="1" t="s">
        <v>68</v>
      </c>
      <c r="H32" s="2" t="s">
        <v>96</v>
      </c>
      <c r="I32" s="1" t="s">
        <v>0</v>
      </c>
      <c r="J32" s="1" t="s">
        <v>9</v>
      </c>
      <c r="K32" s="1">
        <v>4</v>
      </c>
      <c r="L32" s="1">
        <v>378.5</v>
      </c>
      <c r="M32" s="28">
        <v>22101.119999999999</v>
      </c>
      <c r="N32" s="39">
        <f>Data[[#This Row],[Gross Wages]]/Data[[#This Row],[No. of Hours Worked]]</f>
        <v>58.39133421400264</v>
      </c>
      <c r="P32" s="33"/>
    </row>
    <row r="33" spans="1:16" x14ac:dyDescent="0.3">
      <c r="A33" s="15" t="s">
        <v>144</v>
      </c>
      <c r="B33" s="1">
        <v>2023</v>
      </c>
      <c r="C33" s="10">
        <v>45170</v>
      </c>
      <c r="D33" s="34" t="s">
        <v>65</v>
      </c>
      <c r="E33" s="1" t="s">
        <v>66</v>
      </c>
      <c r="F33" s="1" t="s">
        <v>145</v>
      </c>
      <c r="G33" s="1" t="s">
        <v>68</v>
      </c>
      <c r="H33" s="2" t="s">
        <v>146</v>
      </c>
      <c r="I33" s="1" t="s">
        <v>0</v>
      </c>
      <c r="J33" s="1" t="s">
        <v>9</v>
      </c>
      <c r="K33" s="1">
        <v>5</v>
      </c>
      <c r="L33" s="1">
        <v>616</v>
      </c>
      <c r="M33" s="28">
        <v>30661.200000000001</v>
      </c>
      <c r="N33" s="39">
        <f>Data[[#This Row],[Gross Wages]]/Data[[#This Row],[No. of Hours Worked]]</f>
        <v>49.774675324675329</v>
      </c>
      <c r="P33" s="33"/>
    </row>
    <row r="34" spans="1:16" x14ac:dyDescent="0.3">
      <c r="A34" s="15" t="s">
        <v>45</v>
      </c>
      <c r="B34" s="1">
        <v>2023</v>
      </c>
      <c r="C34" s="10">
        <v>45200</v>
      </c>
      <c r="D34" s="2" t="s">
        <v>77</v>
      </c>
      <c r="E34" s="1" t="s">
        <v>66</v>
      </c>
      <c r="F34" s="1" t="s">
        <v>67</v>
      </c>
      <c r="G34" s="1" t="s">
        <v>68</v>
      </c>
      <c r="H34" s="2" t="s">
        <v>69</v>
      </c>
      <c r="I34" s="1" t="s">
        <v>0</v>
      </c>
      <c r="J34" s="1" t="s">
        <v>9</v>
      </c>
      <c r="K34" s="1">
        <v>3</v>
      </c>
      <c r="L34" s="1">
        <v>348</v>
      </c>
      <c r="M34" s="16">
        <v>13159.72</v>
      </c>
      <c r="N34" s="39">
        <f>Data[[#This Row],[Gross Wages]]/Data[[#This Row],[No. of Hours Worked]]</f>
        <v>37.815287356321839</v>
      </c>
      <c r="P34" s="33"/>
    </row>
    <row r="35" spans="1:16" x14ac:dyDescent="0.3">
      <c r="A35" s="15" t="s">
        <v>45</v>
      </c>
      <c r="B35" s="1">
        <v>2023</v>
      </c>
      <c r="C35" s="10">
        <v>45200</v>
      </c>
      <c r="D35" s="2" t="s">
        <v>77</v>
      </c>
      <c r="E35" s="1" t="s">
        <v>66</v>
      </c>
      <c r="F35" s="1" t="s">
        <v>67</v>
      </c>
      <c r="G35" s="1" t="s">
        <v>68</v>
      </c>
      <c r="H35" s="2" t="s">
        <v>69</v>
      </c>
      <c r="I35" s="1" t="s">
        <v>0</v>
      </c>
      <c r="J35" s="1" t="s">
        <v>10</v>
      </c>
      <c r="K35" s="1">
        <v>0</v>
      </c>
      <c r="L35" s="1">
        <v>0</v>
      </c>
      <c r="M35" s="16"/>
      <c r="N35" s="39" t="e">
        <f>Data[[#This Row],[Gross Wages]]/Data[[#This Row],[No. of Hours Worked]]</f>
        <v>#DIV/0!</v>
      </c>
      <c r="P35" s="33"/>
    </row>
    <row r="36" spans="1:16" x14ac:dyDescent="0.3">
      <c r="A36" s="15" t="s">
        <v>46</v>
      </c>
      <c r="B36" s="1">
        <v>2023</v>
      </c>
      <c r="C36" s="10">
        <v>45200</v>
      </c>
      <c r="D36" s="2" t="s">
        <v>77</v>
      </c>
      <c r="E36" s="1" t="s">
        <v>66</v>
      </c>
      <c r="F36" s="1" t="s">
        <v>75</v>
      </c>
      <c r="G36" s="1" t="s">
        <v>68</v>
      </c>
      <c r="H36" s="2" t="s">
        <v>76</v>
      </c>
      <c r="I36" s="1" t="s">
        <v>0</v>
      </c>
      <c r="J36" s="1" t="s">
        <v>9</v>
      </c>
      <c r="K36" s="1">
        <v>6</v>
      </c>
      <c r="L36" s="1">
        <v>173</v>
      </c>
      <c r="M36" s="16">
        <v>12640.1</v>
      </c>
      <c r="N36" s="39">
        <f>Data[[#This Row],[Gross Wages]]/Data[[#This Row],[No. of Hours Worked]]</f>
        <v>73.064161849710985</v>
      </c>
      <c r="P36" s="33"/>
    </row>
    <row r="37" spans="1:16" x14ac:dyDescent="0.3">
      <c r="A37" s="15" t="s">
        <v>46</v>
      </c>
      <c r="B37" s="1">
        <v>2023</v>
      </c>
      <c r="C37" s="10">
        <v>45200</v>
      </c>
      <c r="D37" s="2" t="s">
        <v>77</v>
      </c>
      <c r="E37" s="1" t="s">
        <v>66</v>
      </c>
      <c r="F37" s="1" t="s">
        <v>72</v>
      </c>
      <c r="G37" s="1" t="s">
        <v>73</v>
      </c>
      <c r="H37" s="2" t="s">
        <v>74</v>
      </c>
      <c r="I37" s="1" t="s">
        <v>0</v>
      </c>
      <c r="J37" s="1" t="s">
        <v>9</v>
      </c>
      <c r="K37" s="1">
        <v>5</v>
      </c>
      <c r="L37" s="1">
        <v>388</v>
      </c>
      <c r="M37" s="16">
        <v>18701.599999999999</v>
      </c>
      <c r="N37" s="39">
        <f>Data[[#This Row],[Gross Wages]]/Data[[#This Row],[No. of Hours Worked]]</f>
        <v>48.199999999999996</v>
      </c>
      <c r="P37" s="33"/>
    </row>
    <row r="38" spans="1:16" x14ac:dyDescent="0.3">
      <c r="A38" s="15" t="s">
        <v>46</v>
      </c>
      <c r="B38" s="1">
        <v>2023</v>
      </c>
      <c r="C38" s="10">
        <v>45200</v>
      </c>
      <c r="D38" s="2" t="s">
        <v>77</v>
      </c>
      <c r="E38" s="1" t="s">
        <v>66</v>
      </c>
      <c r="F38" s="1" t="s">
        <v>70</v>
      </c>
      <c r="G38" s="1" t="s">
        <v>68</v>
      </c>
      <c r="H38" s="2" t="s">
        <v>71</v>
      </c>
      <c r="I38" s="1" t="s">
        <v>0</v>
      </c>
      <c r="J38" s="1" t="s">
        <v>9</v>
      </c>
      <c r="K38" s="1">
        <v>4</v>
      </c>
      <c r="L38" s="1">
        <v>438</v>
      </c>
      <c r="M38" s="16">
        <v>23205.24</v>
      </c>
      <c r="N38" s="39">
        <f>Data[[#This Row],[Gross Wages]]/Data[[#This Row],[No. of Hours Worked]]</f>
        <v>52.980000000000004</v>
      </c>
      <c r="P38" s="33"/>
    </row>
    <row r="39" spans="1:16" x14ac:dyDescent="0.3">
      <c r="A39" s="15" t="s">
        <v>46</v>
      </c>
      <c r="B39" s="1">
        <v>2023</v>
      </c>
      <c r="C39" s="10">
        <v>45200</v>
      </c>
      <c r="D39" s="2" t="s">
        <v>77</v>
      </c>
      <c r="E39" s="1" t="s">
        <v>66</v>
      </c>
      <c r="F39" s="1" t="s">
        <v>70</v>
      </c>
      <c r="G39" s="1" t="s">
        <v>68</v>
      </c>
      <c r="H39" s="2" t="s">
        <v>71</v>
      </c>
      <c r="I39" s="1" t="s">
        <v>0</v>
      </c>
      <c r="J39" s="1" t="s">
        <v>10</v>
      </c>
      <c r="K39" s="1">
        <v>0</v>
      </c>
      <c r="L39" s="1">
        <v>0</v>
      </c>
      <c r="M39" s="16"/>
      <c r="N39" s="39" t="e">
        <f>Data[[#This Row],[Gross Wages]]/Data[[#This Row],[No. of Hours Worked]]</f>
        <v>#DIV/0!</v>
      </c>
      <c r="P39" s="33"/>
    </row>
    <row r="40" spans="1:16" x14ac:dyDescent="0.3">
      <c r="A40" s="15" t="s">
        <v>46</v>
      </c>
      <c r="B40" s="1">
        <v>2023</v>
      </c>
      <c r="C40" s="10">
        <v>45200</v>
      </c>
      <c r="D40" s="2" t="s">
        <v>77</v>
      </c>
      <c r="E40" s="1" t="s">
        <v>66</v>
      </c>
      <c r="F40" s="1" t="s">
        <v>72</v>
      </c>
      <c r="G40" s="1" t="s">
        <v>73</v>
      </c>
      <c r="H40" s="2" t="s">
        <v>74</v>
      </c>
      <c r="I40" s="1" t="s">
        <v>0</v>
      </c>
      <c r="J40" s="1" t="s">
        <v>10</v>
      </c>
      <c r="K40" s="1">
        <v>0</v>
      </c>
      <c r="L40" s="1">
        <v>0</v>
      </c>
      <c r="M40" s="16"/>
      <c r="N40" s="39" t="e">
        <f>Data[[#This Row],[Gross Wages]]/Data[[#This Row],[No. of Hours Worked]]</f>
        <v>#DIV/0!</v>
      </c>
      <c r="P40" s="33"/>
    </row>
    <row r="41" spans="1:16" x14ac:dyDescent="0.3">
      <c r="A41" s="15" t="s">
        <v>46</v>
      </c>
      <c r="B41" s="1">
        <v>2023</v>
      </c>
      <c r="C41" s="10">
        <v>45200</v>
      </c>
      <c r="D41" s="2" t="s">
        <v>77</v>
      </c>
      <c r="E41" s="1" t="s">
        <v>66</v>
      </c>
      <c r="F41" s="1" t="s">
        <v>75</v>
      </c>
      <c r="G41" s="1" t="s">
        <v>68</v>
      </c>
      <c r="H41" s="2" t="s">
        <v>76</v>
      </c>
      <c r="I41" s="1" t="s">
        <v>0</v>
      </c>
      <c r="J41" s="1" t="s">
        <v>10</v>
      </c>
      <c r="K41" s="1">
        <v>0</v>
      </c>
      <c r="L41" s="1">
        <v>0</v>
      </c>
      <c r="M41" s="16"/>
      <c r="N41" s="39" t="e">
        <f>Data[[#This Row],[Gross Wages]]/Data[[#This Row],[No. of Hours Worked]]</f>
        <v>#DIV/0!</v>
      </c>
      <c r="P41" s="33"/>
    </row>
    <row r="42" spans="1:16" x14ac:dyDescent="0.3">
      <c r="A42" s="15" t="s">
        <v>47</v>
      </c>
      <c r="B42" s="1">
        <v>2023</v>
      </c>
      <c r="C42" s="10">
        <v>45200</v>
      </c>
      <c r="D42" s="2" t="s">
        <v>77</v>
      </c>
      <c r="E42" s="1" t="s">
        <v>80</v>
      </c>
      <c r="F42" s="1" t="s">
        <v>81</v>
      </c>
      <c r="G42" s="1" t="s">
        <v>82</v>
      </c>
      <c r="H42" s="2" t="s">
        <v>83</v>
      </c>
      <c r="I42" s="1" t="s">
        <v>0</v>
      </c>
      <c r="J42" s="1" t="s">
        <v>9</v>
      </c>
      <c r="K42" s="1">
        <v>2</v>
      </c>
      <c r="L42" s="1">
        <v>20</v>
      </c>
      <c r="M42" s="16">
        <v>907.4</v>
      </c>
      <c r="N42" s="39">
        <f>Data[[#This Row],[Gross Wages]]/Data[[#This Row],[No. of Hours Worked]]</f>
        <v>45.37</v>
      </c>
      <c r="P42" s="33"/>
    </row>
    <row r="43" spans="1:16" x14ac:dyDescent="0.3">
      <c r="A43" s="15" t="s">
        <v>47</v>
      </c>
      <c r="B43" s="1">
        <v>2023</v>
      </c>
      <c r="C43" s="10">
        <v>45200</v>
      </c>
      <c r="D43" s="2" t="s">
        <v>77</v>
      </c>
      <c r="E43" s="1" t="s">
        <v>80</v>
      </c>
      <c r="F43" s="1" t="s">
        <v>81</v>
      </c>
      <c r="G43" s="1" t="s">
        <v>82</v>
      </c>
      <c r="H43" s="2" t="s">
        <v>83</v>
      </c>
      <c r="I43" s="1" t="s">
        <v>0</v>
      </c>
      <c r="J43" s="1" t="s">
        <v>10</v>
      </c>
      <c r="K43" s="1">
        <v>0</v>
      </c>
      <c r="L43" s="1">
        <v>0</v>
      </c>
      <c r="M43" s="16"/>
      <c r="N43" s="39" t="e">
        <f>Data[[#This Row],[Gross Wages]]/Data[[#This Row],[No. of Hours Worked]]</f>
        <v>#DIV/0!</v>
      </c>
      <c r="P43" s="33"/>
    </row>
    <row r="44" spans="1:16" x14ac:dyDescent="0.3">
      <c r="A44" s="15" t="s">
        <v>48</v>
      </c>
      <c r="B44" s="1">
        <v>2023</v>
      </c>
      <c r="C44" s="10">
        <v>45200</v>
      </c>
      <c r="D44" s="2" t="s">
        <v>77</v>
      </c>
      <c r="E44" s="1" t="s">
        <v>66</v>
      </c>
      <c r="F44" s="1" t="s">
        <v>84</v>
      </c>
      <c r="G44" s="1" t="s">
        <v>68</v>
      </c>
      <c r="H44" s="2" t="s">
        <v>85</v>
      </c>
      <c r="I44" s="1" t="s">
        <v>0</v>
      </c>
      <c r="J44" s="1" t="s">
        <v>9</v>
      </c>
      <c r="K44" s="1">
        <v>5</v>
      </c>
      <c r="L44" s="1">
        <v>170</v>
      </c>
      <c r="M44" s="28">
        <v>7735.2</v>
      </c>
      <c r="N44" s="39">
        <f>Data[[#This Row],[Gross Wages]]/Data[[#This Row],[No. of Hours Worked]]</f>
        <v>45.501176470588234</v>
      </c>
      <c r="P44" s="33"/>
    </row>
    <row r="45" spans="1:16" x14ac:dyDescent="0.3">
      <c r="A45" s="15" t="s">
        <v>49</v>
      </c>
      <c r="B45" s="1">
        <v>2023</v>
      </c>
      <c r="C45" s="10">
        <v>45200</v>
      </c>
      <c r="D45" s="2" t="s">
        <v>77</v>
      </c>
      <c r="E45" s="1" t="s">
        <v>66</v>
      </c>
      <c r="F45" s="1" t="s">
        <v>75</v>
      </c>
      <c r="G45" s="1" t="s">
        <v>68</v>
      </c>
      <c r="H45" s="2" t="s">
        <v>76</v>
      </c>
      <c r="I45" s="1" t="s">
        <v>0</v>
      </c>
      <c r="J45" s="1" t="s">
        <v>9</v>
      </c>
      <c r="K45" s="1">
        <v>1</v>
      </c>
      <c r="L45" s="1">
        <v>23</v>
      </c>
      <c r="M45" s="16">
        <v>1705.68</v>
      </c>
      <c r="N45" s="39">
        <f>Data[[#This Row],[Gross Wages]]/Data[[#This Row],[No. of Hours Worked]]</f>
        <v>74.16</v>
      </c>
      <c r="P45" s="33"/>
    </row>
    <row r="46" spans="1:16" x14ac:dyDescent="0.3">
      <c r="A46" s="15" t="s">
        <v>49</v>
      </c>
      <c r="B46" s="1">
        <v>2023</v>
      </c>
      <c r="C46" s="10">
        <v>45200</v>
      </c>
      <c r="D46" s="2" t="s">
        <v>77</v>
      </c>
      <c r="E46" s="1" t="s">
        <v>66</v>
      </c>
      <c r="F46" s="1" t="s">
        <v>67</v>
      </c>
      <c r="G46" s="1" t="s">
        <v>68</v>
      </c>
      <c r="H46" s="2" t="s">
        <v>69</v>
      </c>
      <c r="I46" s="1" t="s">
        <v>0</v>
      </c>
      <c r="J46" s="1" t="s">
        <v>9</v>
      </c>
      <c r="K46" s="1">
        <v>3</v>
      </c>
      <c r="L46" s="1">
        <v>299</v>
      </c>
      <c r="M46" s="16">
        <v>20604.09</v>
      </c>
      <c r="N46" s="39">
        <f>Data[[#This Row],[Gross Wages]]/Data[[#This Row],[No. of Hours Worked]]</f>
        <v>68.91</v>
      </c>
      <c r="P46" s="33"/>
    </row>
    <row r="47" spans="1:16" x14ac:dyDescent="0.3">
      <c r="A47" s="15" t="s">
        <v>49</v>
      </c>
      <c r="B47" s="1">
        <v>2023</v>
      </c>
      <c r="C47" s="10">
        <v>45200</v>
      </c>
      <c r="D47" s="2" t="s">
        <v>77</v>
      </c>
      <c r="E47" s="1" t="s">
        <v>66</v>
      </c>
      <c r="F47" s="1" t="s">
        <v>67</v>
      </c>
      <c r="G47" s="1" t="s">
        <v>68</v>
      </c>
      <c r="H47" s="2" t="s">
        <v>69</v>
      </c>
      <c r="I47" s="1" t="s">
        <v>0</v>
      </c>
      <c r="J47" s="1" t="s">
        <v>10</v>
      </c>
      <c r="K47" s="1">
        <v>0</v>
      </c>
      <c r="L47" s="1">
        <v>0</v>
      </c>
      <c r="M47" s="16"/>
      <c r="N47" s="39" t="e">
        <f>Data[[#This Row],[Gross Wages]]/Data[[#This Row],[No. of Hours Worked]]</f>
        <v>#DIV/0!</v>
      </c>
      <c r="P47" s="33"/>
    </row>
    <row r="48" spans="1:16" x14ac:dyDescent="0.3">
      <c r="A48" s="15" t="s">
        <v>49</v>
      </c>
      <c r="B48" s="1">
        <v>2023</v>
      </c>
      <c r="C48" s="10">
        <v>45200</v>
      </c>
      <c r="D48" s="2" t="s">
        <v>77</v>
      </c>
      <c r="E48" s="1" t="s">
        <v>66</v>
      </c>
      <c r="F48" s="1" t="s">
        <v>75</v>
      </c>
      <c r="G48" s="1" t="s">
        <v>68</v>
      </c>
      <c r="H48" s="2" t="s">
        <v>76</v>
      </c>
      <c r="I48" s="1" t="s">
        <v>0</v>
      </c>
      <c r="J48" s="1" t="s">
        <v>10</v>
      </c>
      <c r="K48" s="1">
        <v>0</v>
      </c>
      <c r="L48" s="1">
        <v>0</v>
      </c>
      <c r="M48" s="16"/>
      <c r="N48" s="39" t="e">
        <f>Data[[#This Row],[Gross Wages]]/Data[[#This Row],[No. of Hours Worked]]</f>
        <v>#DIV/0!</v>
      </c>
      <c r="P48" s="33"/>
    </row>
    <row r="49" spans="1:16" x14ac:dyDescent="0.3">
      <c r="A49" s="15" t="s">
        <v>144</v>
      </c>
      <c r="B49" s="1">
        <v>2023</v>
      </c>
      <c r="C49" s="10">
        <v>45200</v>
      </c>
      <c r="D49" s="34" t="s">
        <v>77</v>
      </c>
      <c r="E49" s="1" t="s">
        <v>66</v>
      </c>
      <c r="F49" s="1" t="s">
        <v>145</v>
      </c>
      <c r="G49" s="1" t="s">
        <v>68</v>
      </c>
      <c r="H49" s="2" t="s">
        <v>146</v>
      </c>
      <c r="I49" s="1" t="s">
        <v>111</v>
      </c>
      <c r="J49" s="1" t="s">
        <v>9</v>
      </c>
      <c r="K49" s="1">
        <v>1</v>
      </c>
      <c r="L49" s="1">
        <v>200</v>
      </c>
      <c r="M49" s="16">
        <v>9940</v>
      </c>
      <c r="N49" s="39">
        <f>Data[[#This Row],[Gross Wages]]/Data[[#This Row],[No. of Hours Worked]]</f>
        <v>49.7</v>
      </c>
      <c r="P49" s="33"/>
    </row>
    <row r="50" spans="1:16" x14ac:dyDescent="0.3">
      <c r="A50" s="15" t="s">
        <v>144</v>
      </c>
      <c r="B50" s="1">
        <v>2023</v>
      </c>
      <c r="C50" s="10">
        <v>45200</v>
      </c>
      <c r="D50" s="34" t="s">
        <v>77</v>
      </c>
      <c r="E50" s="1" t="s">
        <v>66</v>
      </c>
      <c r="F50" s="1" t="s">
        <v>95</v>
      </c>
      <c r="G50" s="1" t="s">
        <v>68</v>
      </c>
      <c r="H50" s="2" t="s">
        <v>96</v>
      </c>
      <c r="I50" s="1" t="s">
        <v>1</v>
      </c>
      <c r="J50" s="1" t="s">
        <v>9</v>
      </c>
      <c r="K50" s="1">
        <v>1</v>
      </c>
      <c r="L50" s="1">
        <v>200</v>
      </c>
      <c r="M50" s="16">
        <v>12164.48</v>
      </c>
      <c r="N50" s="39">
        <f>Data[[#This Row],[Gross Wages]]/Data[[#This Row],[No. of Hours Worked]]</f>
        <v>60.822399999999995</v>
      </c>
      <c r="P50" s="33"/>
    </row>
    <row r="51" spans="1:16" x14ac:dyDescent="0.3">
      <c r="A51" s="15" t="s">
        <v>144</v>
      </c>
      <c r="B51" s="1">
        <v>2023</v>
      </c>
      <c r="C51" s="10">
        <v>45200</v>
      </c>
      <c r="D51" s="34" t="s">
        <v>77</v>
      </c>
      <c r="E51" s="1" t="s">
        <v>66</v>
      </c>
      <c r="F51" s="1" t="s">
        <v>95</v>
      </c>
      <c r="G51" s="1" t="s">
        <v>68</v>
      </c>
      <c r="H51" s="2" t="s">
        <v>96</v>
      </c>
      <c r="I51" s="1" t="s">
        <v>3</v>
      </c>
      <c r="J51" s="1" t="s">
        <v>9</v>
      </c>
      <c r="K51" s="1">
        <v>1</v>
      </c>
      <c r="L51" s="1">
        <v>200</v>
      </c>
      <c r="M51" s="28">
        <v>20000</v>
      </c>
      <c r="N51" s="39">
        <f>Data[[#This Row],[Gross Wages]]/Data[[#This Row],[No. of Hours Worked]]</f>
        <v>100</v>
      </c>
      <c r="P51" s="33"/>
    </row>
    <row r="52" spans="1:16" x14ac:dyDescent="0.3">
      <c r="A52" s="15" t="s">
        <v>144</v>
      </c>
      <c r="B52" s="1">
        <v>2023</v>
      </c>
      <c r="C52" s="10">
        <v>45200</v>
      </c>
      <c r="D52" s="34" t="s">
        <v>77</v>
      </c>
      <c r="E52" s="1" t="s">
        <v>66</v>
      </c>
      <c r="F52" s="1" t="s">
        <v>95</v>
      </c>
      <c r="G52" s="1" t="s">
        <v>68</v>
      </c>
      <c r="H52" s="2" t="s">
        <v>96</v>
      </c>
      <c r="I52" s="1" t="s">
        <v>0</v>
      </c>
      <c r="J52" s="1" t="s">
        <v>9</v>
      </c>
      <c r="K52" s="1">
        <v>4</v>
      </c>
      <c r="L52" s="1">
        <v>601</v>
      </c>
      <c r="M52" s="28">
        <v>35413.82</v>
      </c>
      <c r="N52" s="39">
        <f>Data[[#This Row],[Gross Wages]]/Data[[#This Row],[No. of Hours Worked]]</f>
        <v>58.924825291181364</v>
      </c>
      <c r="P52" s="33"/>
    </row>
    <row r="53" spans="1:16" x14ac:dyDescent="0.3">
      <c r="A53" s="15" t="s">
        <v>144</v>
      </c>
      <c r="B53" s="1">
        <v>2023</v>
      </c>
      <c r="C53" s="10">
        <v>45200</v>
      </c>
      <c r="D53" s="34" t="s">
        <v>77</v>
      </c>
      <c r="E53" s="1" t="s">
        <v>66</v>
      </c>
      <c r="F53" s="1" t="s">
        <v>145</v>
      </c>
      <c r="G53" s="1" t="s">
        <v>68</v>
      </c>
      <c r="H53" s="2" t="s">
        <v>146</v>
      </c>
      <c r="I53" s="1" t="s">
        <v>0</v>
      </c>
      <c r="J53" s="1" t="s">
        <v>9</v>
      </c>
      <c r="K53" s="1">
        <v>4</v>
      </c>
      <c r="L53" s="1">
        <v>722</v>
      </c>
      <c r="M53" s="28">
        <v>35922.400000000001</v>
      </c>
      <c r="N53" s="39">
        <f>Data[[#This Row],[Gross Wages]]/Data[[#This Row],[No. of Hours Worked]]</f>
        <v>49.754016620498618</v>
      </c>
      <c r="P53" s="33"/>
    </row>
    <row r="54" spans="1:16" x14ac:dyDescent="0.3">
      <c r="A54" s="15" t="s">
        <v>39</v>
      </c>
      <c r="B54" s="1">
        <v>2023</v>
      </c>
      <c r="C54" s="10">
        <v>45231</v>
      </c>
      <c r="D54" s="2" t="s">
        <v>77</v>
      </c>
      <c r="E54" s="1" t="s">
        <v>66</v>
      </c>
      <c r="F54" s="1" t="s">
        <v>78</v>
      </c>
      <c r="G54" s="1" t="s">
        <v>68</v>
      </c>
      <c r="H54" s="2" t="s">
        <v>79</v>
      </c>
      <c r="I54" s="1" t="s">
        <v>0</v>
      </c>
      <c r="J54" s="1" t="s">
        <v>9</v>
      </c>
      <c r="K54" s="1">
        <v>3</v>
      </c>
      <c r="L54" s="1">
        <v>47</v>
      </c>
      <c r="M54" s="16">
        <v>1774</v>
      </c>
      <c r="N54" s="39">
        <f>Data[[#This Row],[Gross Wages]]/Data[[#This Row],[No. of Hours Worked]]</f>
        <v>37.744680851063826</v>
      </c>
      <c r="P54" s="33"/>
    </row>
    <row r="55" spans="1:16" x14ac:dyDescent="0.3">
      <c r="A55" s="15" t="s">
        <v>39</v>
      </c>
      <c r="B55" s="1">
        <v>2023</v>
      </c>
      <c r="C55" s="10">
        <v>45231</v>
      </c>
      <c r="D55" s="2" t="s">
        <v>77</v>
      </c>
      <c r="E55" s="1" t="s">
        <v>66</v>
      </c>
      <c r="F55" s="1" t="s">
        <v>78</v>
      </c>
      <c r="G55" s="1" t="s">
        <v>68</v>
      </c>
      <c r="H55" s="2" t="s">
        <v>79</v>
      </c>
      <c r="I55" s="1" t="s">
        <v>0</v>
      </c>
      <c r="J55" s="1" t="s">
        <v>10</v>
      </c>
      <c r="K55" s="1">
        <v>0</v>
      </c>
      <c r="L55" s="1">
        <v>0</v>
      </c>
      <c r="M55" s="16"/>
      <c r="N55" s="39" t="e">
        <f>Data[[#This Row],[Gross Wages]]/Data[[#This Row],[No. of Hours Worked]]</f>
        <v>#DIV/0!</v>
      </c>
      <c r="P55" s="33"/>
    </row>
    <row r="56" spans="1:16" x14ac:dyDescent="0.3">
      <c r="A56" s="15" t="s">
        <v>45</v>
      </c>
      <c r="B56" s="1">
        <v>2023</v>
      </c>
      <c r="C56" s="10">
        <v>45231</v>
      </c>
      <c r="D56" s="2" t="s">
        <v>77</v>
      </c>
      <c r="E56" s="1" t="s">
        <v>66</v>
      </c>
      <c r="F56" s="1" t="s">
        <v>67</v>
      </c>
      <c r="G56" s="1" t="s">
        <v>68</v>
      </c>
      <c r="H56" s="2" t="s">
        <v>69</v>
      </c>
      <c r="I56" s="1" t="s">
        <v>0</v>
      </c>
      <c r="J56" s="1" t="s">
        <v>9</v>
      </c>
      <c r="K56" s="1">
        <v>3</v>
      </c>
      <c r="L56" s="1">
        <v>494</v>
      </c>
      <c r="M56" s="28">
        <v>18285.68</v>
      </c>
      <c r="N56" s="39">
        <f>Data[[#This Row],[Gross Wages]]/Data[[#This Row],[No. of Hours Worked]]</f>
        <v>37.015546558704457</v>
      </c>
      <c r="P56" s="33"/>
    </row>
    <row r="57" spans="1:16" x14ac:dyDescent="0.3">
      <c r="A57" s="15" t="s">
        <v>48</v>
      </c>
      <c r="B57" s="1">
        <v>2023</v>
      </c>
      <c r="C57" s="10">
        <v>45231</v>
      </c>
      <c r="D57" s="2" t="s">
        <v>77</v>
      </c>
      <c r="E57" s="1" t="s">
        <v>66</v>
      </c>
      <c r="F57" s="1" t="s">
        <v>84</v>
      </c>
      <c r="G57" s="1" t="s">
        <v>68</v>
      </c>
      <c r="H57" s="2" t="s">
        <v>85</v>
      </c>
      <c r="I57" s="1" t="s">
        <v>0</v>
      </c>
      <c r="J57" s="1" t="s">
        <v>9</v>
      </c>
      <c r="K57" s="1">
        <v>9</v>
      </c>
      <c r="L57" s="1">
        <v>340</v>
      </c>
      <c r="M57" s="28">
        <v>13293</v>
      </c>
      <c r="N57" s="39">
        <f>Data[[#This Row],[Gross Wages]]/Data[[#This Row],[No. of Hours Worked]]</f>
        <v>39.097058823529409</v>
      </c>
      <c r="P57" s="33"/>
    </row>
    <row r="58" spans="1:16" x14ac:dyDescent="0.3">
      <c r="A58" s="15" t="s">
        <v>49</v>
      </c>
      <c r="B58" s="1">
        <v>2023</v>
      </c>
      <c r="C58" s="10">
        <v>45231</v>
      </c>
      <c r="D58" s="2" t="s">
        <v>77</v>
      </c>
      <c r="E58" s="1" t="s">
        <v>66</v>
      </c>
      <c r="F58" s="1" t="s">
        <v>75</v>
      </c>
      <c r="G58" s="1" t="s">
        <v>68</v>
      </c>
      <c r="H58" s="2" t="s">
        <v>76</v>
      </c>
      <c r="I58" s="1" t="s">
        <v>0</v>
      </c>
      <c r="J58" s="1" t="s">
        <v>9</v>
      </c>
      <c r="K58" s="1">
        <v>1</v>
      </c>
      <c r="L58" s="1">
        <v>15</v>
      </c>
      <c r="M58" s="16">
        <v>1112.4000000000001</v>
      </c>
      <c r="N58" s="39">
        <f>Data[[#This Row],[Gross Wages]]/Data[[#This Row],[No. of Hours Worked]]</f>
        <v>74.160000000000011</v>
      </c>
      <c r="P58" s="33"/>
    </row>
    <row r="59" spans="1:16" x14ac:dyDescent="0.3">
      <c r="A59" s="15" t="s">
        <v>49</v>
      </c>
      <c r="B59" s="1">
        <v>2023</v>
      </c>
      <c r="C59" s="10">
        <v>45231</v>
      </c>
      <c r="D59" s="2" t="s">
        <v>77</v>
      </c>
      <c r="E59" s="1" t="s">
        <v>66</v>
      </c>
      <c r="F59" s="1" t="s">
        <v>67</v>
      </c>
      <c r="G59" s="1" t="s">
        <v>68</v>
      </c>
      <c r="H59" s="2" t="s">
        <v>69</v>
      </c>
      <c r="I59" s="1" t="s">
        <v>0</v>
      </c>
      <c r="J59" s="1" t="s">
        <v>9</v>
      </c>
      <c r="K59" s="1">
        <v>2</v>
      </c>
      <c r="L59" s="1">
        <v>225</v>
      </c>
      <c r="M59" s="16">
        <v>15504.75</v>
      </c>
      <c r="N59" s="39">
        <f>Data[[#This Row],[Gross Wages]]/Data[[#This Row],[No. of Hours Worked]]</f>
        <v>68.91</v>
      </c>
      <c r="P59" s="33"/>
    </row>
    <row r="60" spans="1:16" x14ac:dyDescent="0.3">
      <c r="A60" s="15" t="s">
        <v>49</v>
      </c>
      <c r="B60" s="1">
        <v>2023</v>
      </c>
      <c r="C60" s="10">
        <v>45231</v>
      </c>
      <c r="D60" s="2" t="s">
        <v>77</v>
      </c>
      <c r="E60" s="1" t="s">
        <v>66</v>
      </c>
      <c r="F60" s="1" t="s">
        <v>67</v>
      </c>
      <c r="G60" s="1" t="s">
        <v>68</v>
      </c>
      <c r="H60" s="2" t="s">
        <v>69</v>
      </c>
      <c r="I60" s="1" t="s">
        <v>0</v>
      </c>
      <c r="J60" s="1" t="s">
        <v>10</v>
      </c>
      <c r="K60" s="1">
        <v>0</v>
      </c>
      <c r="L60" s="1">
        <v>0</v>
      </c>
      <c r="M60" s="16"/>
      <c r="N60" s="39" t="e">
        <f>Data[[#This Row],[Gross Wages]]/Data[[#This Row],[No. of Hours Worked]]</f>
        <v>#DIV/0!</v>
      </c>
      <c r="P60" s="33"/>
    </row>
    <row r="61" spans="1:16" x14ac:dyDescent="0.3">
      <c r="A61" s="15" t="s">
        <v>49</v>
      </c>
      <c r="B61" s="1">
        <v>2023</v>
      </c>
      <c r="C61" s="10">
        <v>45231</v>
      </c>
      <c r="D61" s="2" t="s">
        <v>77</v>
      </c>
      <c r="E61" s="1" t="s">
        <v>66</v>
      </c>
      <c r="F61" s="1" t="s">
        <v>75</v>
      </c>
      <c r="G61" s="1" t="s">
        <v>68</v>
      </c>
      <c r="H61" s="2" t="s">
        <v>76</v>
      </c>
      <c r="I61" s="1" t="s">
        <v>0</v>
      </c>
      <c r="J61" s="1" t="s">
        <v>10</v>
      </c>
      <c r="K61" s="1">
        <v>0</v>
      </c>
      <c r="L61" s="1">
        <v>0</v>
      </c>
      <c r="M61" s="16"/>
      <c r="N61" s="39" t="e">
        <f>Data[[#This Row],[Gross Wages]]/Data[[#This Row],[No. of Hours Worked]]</f>
        <v>#DIV/0!</v>
      </c>
      <c r="P61" s="33"/>
    </row>
    <row r="62" spans="1:16" x14ac:dyDescent="0.3">
      <c r="A62" s="15" t="s">
        <v>144</v>
      </c>
      <c r="B62" s="1">
        <v>2023</v>
      </c>
      <c r="C62" s="10">
        <v>45231</v>
      </c>
      <c r="D62" s="34" t="s">
        <v>77</v>
      </c>
      <c r="E62" s="1" t="s">
        <v>66</v>
      </c>
      <c r="F62" s="1" t="s">
        <v>145</v>
      </c>
      <c r="G62" s="1" t="s">
        <v>68</v>
      </c>
      <c r="H62" s="2" t="s">
        <v>146</v>
      </c>
      <c r="I62" s="1" t="s">
        <v>111</v>
      </c>
      <c r="J62" s="1" t="s">
        <v>9</v>
      </c>
      <c r="K62" s="1">
        <v>1</v>
      </c>
      <c r="L62" s="1">
        <v>152</v>
      </c>
      <c r="M62" s="28">
        <v>6995.2</v>
      </c>
      <c r="N62" s="39">
        <f>Data[[#This Row],[Gross Wages]]/Data[[#This Row],[No. of Hours Worked]]</f>
        <v>46.021052631578947</v>
      </c>
      <c r="P62" s="33"/>
    </row>
    <row r="63" spans="1:16" x14ac:dyDescent="0.3">
      <c r="A63" s="15" t="s">
        <v>144</v>
      </c>
      <c r="B63" s="1">
        <v>2023</v>
      </c>
      <c r="C63" s="10">
        <v>45231</v>
      </c>
      <c r="D63" s="34" t="s">
        <v>77</v>
      </c>
      <c r="E63" s="1" t="s">
        <v>66</v>
      </c>
      <c r="F63" s="1" t="s">
        <v>95</v>
      </c>
      <c r="G63" s="1" t="s">
        <v>68</v>
      </c>
      <c r="H63" s="2" t="s">
        <v>96</v>
      </c>
      <c r="I63" s="1" t="s">
        <v>1</v>
      </c>
      <c r="J63" s="1" t="s">
        <v>9</v>
      </c>
      <c r="K63" s="1">
        <v>1</v>
      </c>
      <c r="L63" s="1">
        <v>157</v>
      </c>
      <c r="M63" s="28">
        <v>7204.52</v>
      </c>
      <c r="N63" s="39">
        <f>Data[[#This Row],[Gross Wages]]/Data[[#This Row],[No. of Hours Worked]]</f>
        <v>45.888662420382168</v>
      </c>
      <c r="P63" s="33"/>
    </row>
    <row r="64" spans="1:16" x14ac:dyDescent="0.3">
      <c r="A64" s="15" t="s">
        <v>144</v>
      </c>
      <c r="B64" s="1">
        <v>2023</v>
      </c>
      <c r="C64" s="10">
        <v>45231</v>
      </c>
      <c r="D64" s="34" t="s">
        <v>77</v>
      </c>
      <c r="E64" s="1" t="s">
        <v>66</v>
      </c>
      <c r="F64" s="1" t="s">
        <v>95</v>
      </c>
      <c r="G64" s="1" t="s">
        <v>68</v>
      </c>
      <c r="H64" s="2" t="s">
        <v>96</v>
      </c>
      <c r="I64" s="1" t="s">
        <v>3</v>
      </c>
      <c r="J64" s="79" t="s">
        <v>9</v>
      </c>
      <c r="K64" s="79">
        <v>1</v>
      </c>
      <c r="L64" s="79">
        <v>160</v>
      </c>
      <c r="M64" s="80">
        <v>25530.5</v>
      </c>
      <c r="N64" s="39">
        <f>Data[[#This Row],[Gross Wages]]/Data[[#This Row],[No. of Hours Worked]]</f>
        <v>159.56562500000001</v>
      </c>
      <c r="P64" s="33"/>
    </row>
    <row r="65" spans="1:16" x14ac:dyDescent="0.3">
      <c r="A65" s="15" t="s">
        <v>144</v>
      </c>
      <c r="B65" s="1">
        <v>2023</v>
      </c>
      <c r="C65" s="10">
        <v>45231</v>
      </c>
      <c r="D65" s="34" t="s">
        <v>77</v>
      </c>
      <c r="E65" s="1" t="s">
        <v>66</v>
      </c>
      <c r="F65" s="1" t="s">
        <v>145</v>
      </c>
      <c r="G65" s="1" t="s">
        <v>68</v>
      </c>
      <c r="H65" s="2" t="s">
        <v>146</v>
      </c>
      <c r="I65" s="1" t="s">
        <v>0</v>
      </c>
      <c r="J65" s="1" t="s">
        <v>9</v>
      </c>
      <c r="K65" s="1">
        <v>5</v>
      </c>
      <c r="L65" s="1">
        <v>687</v>
      </c>
      <c r="M65" s="28">
        <v>31090.2</v>
      </c>
      <c r="N65" s="39">
        <f>Data[[#This Row],[Gross Wages]]/Data[[#This Row],[No. of Hours Worked]]</f>
        <v>45.255021834061139</v>
      </c>
      <c r="P65" s="33"/>
    </row>
    <row r="66" spans="1:16" x14ac:dyDescent="0.3">
      <c r="A66" s="15" t="s">
        <v>144</v>
      </c>
      <c r="B66" s="1">
        <v>2023</v>
      </c>
      <c r="C66" s="10">
        <v>45231</v>
      </c>
      <c r="D66" s="34" t="s">
        <v>77</v>
      </c>
      <c r="E66" s="1" t="s">
        <v>66</v>
      </c>
      <c r="F66" s="1" t="s">
        <v>95</v>
      </c>
      <c r="G66" s="1" t="s">
        <v>68</v>
      </c>
      <c r="H66" s="2" t="s">
        <v>96</v>
      </c>
      <c r="I66" s="1" t="s">
        <v>0</v>
      </c>
      <c r="J66" s="1" t="s">
        <v>9</v>
      </c>
      <c r="K66" s="1">
        <v>4</v>
      </c>
      <c r="L66" s="1">
        <v>485</v>
      </c>
      <c r="M66" s="28">
        <v>41341.9</v>
      </c>
      <c r="N66" s="39">
        <f>Data[[#This Row],[Gross Wages]]/Data[[#This Row],[No. of Hours Worked]]</f>
        <v>85.241030927835055</v>
      </c>
      <c r="P66" s="33"/>
    </row>
    <row r="67" spans="1:16" x14ac:dyDescent="0.3">
      <c r="A67" s="15" t="s">
        <v>39</v>
      </c>
      <c r="B67" s="1">
        <v>2023</v>
      </c>
      <c r="C67" s="10">
        <v>45261</v>
      </c>
      <c r="D67" s="2" t="s">
        <v>77</v>
      </c>
      <c r="E67" s="1" t="s">
        <v>66</v>
      </c>
      <c r="F67" s="1" t="s">
        <v>78</v>
      </c>
      <c r="G67" s="1" t="s">
        <v>68</v>
      </c>
      <c r="H67" s="2" t="s">
        <v>79</v>
      </c>
      <c r="I67" s="1" t="s">
        <v>0</v>
      </c>
      <c r="J67" s="1" t="s">
        <v>9</v>
      </c>
      <c r="K67" s="1">
        <v>2</v>
      </c>
      <c r="L67" s="1">
        <v>68</v>
      </c>
      <c r="M67" s="16">
        <v>2600</v>
      </c>
      <c r="N67" s="39">
        <f>Data[[#This Row],[Gross Wages]]/Data[[#This Row],[No. of Hours Worked]]</f>
        <v>38.235294117647058</v>
      </c>
      <c r="P67" s="33"/>
    </row>
    <row r="68" spans="1:16" x14ac:dyDescent="0.3">
      <c r="A68" s="15" t="s">
        <v>39</v>
      </c>
      <c r="B68" s="1">
        <v>2023</v>
      </c>
      <c r="C68" s="10">
        <v>45261</v>
      </c>
      <c r="D68" s="2" t="s">
        <v>77</v>
      </c>
      <c r="E68" s="1" t="s">
        <v>66</v>
      </c>
      <c r="F68" s="1" t="s">
        <v>78</v>
      </c>
      <c r="G68" s="1" t="s">
        <v>68</v>
      </c>
      <c r="H68" s="2" t="s">
        <v>79</v>
      </c>
      <c r="I68" s="1" t="s">
        <v>0</v>
      </c>
      <c r="J68" s="1" t="s">
        <v>10</v>
      </c>
      <c r="K68" s="1">
        <v>0</v>
      </c>
      <c r="L68" s="1">
        <v>0</v>
      </c>
      <c r="M68" s="16"/>
      <c r="N68" s="39" t="e">
        <f>Data[[#This Row],[Gross Wages]]/Data[[#This Row],[No. of Hours Worked]]</f>
        <v>#DIV/0!</v>
      </c>
      <c r="P68" s="33"/>
    </row>
    <row r="69" spans="1:16" x14ac:dyDescent="0.3">
      <c r="A69" s="15" t="s">
        <v>45</v>
      </c>
      <c r="B69" s="1">
        <v>2023</v>
      </c>
      <c r="C69" s="10">
        <v>45261</v>
      </c>
      <c r="D69" s="2" t="s">
        <v>77</v>
      </c>
      <c r="E69" s="1" t="s">
        <v>66</v>
      </c>
      <c r="F69" s="1" t="s">
        <v>67</v>
      </c>
      <c r="G69" s="1" t="s">
        <v>68</v>
      </c>
      <c r="H69" s="2" t="s">
        <v>69</v>
      </c>
      <c r="I69" s="1" t="s">
        <v>0</v>
      </c>
      <c r="J69" s="1" t="s">
        <v>9</v>
      </c>
      <c r="K69" s="1">
        <v>3</v>
      </c>
      <c r="L69" s="1">
        <v>415</v>
      </c>
      <c r="M69" s="28">
        <v>15678.88</v>
      </c>
      <c r="N69" s="39">
        <f>Data[[#This Row],[Gross Wages]]/Data[[#This Row],[No. of Hours Worked]]</f>
        <v>37.780433734939756</v>
      </c>
      <c r="P69" s="33"/>
    </row>
    <row r="70" spans="1:16" x14ac:dyDescent="0.3">
      <c r="A70" s="15" t="s">
        <v>46</v>
      </c>
      <c r="B70" s="1">
        <v>2023</v>
      </c>
      <c r="C70" s="10">
        <v>45261</v>
      </c>
      <c r="D70" s="2" t="s">
        <v>77</v>
      </c>
      <c r="E70" s="1" t="s">
        <v>66</v>
      </c>
      <c r="F70" s="1" t="s">
        <v>72</v>
      </c>
      <c r="G70" s="1" t="s">
        <v>73</v>
      </c>
      <c r="H70" s="2" t="s">
        <v>74</v>
      </c>
      <c r="I70" s="1" t="s">
        <v>0</v>
      </c>
      <c r="J70" s="1" t="s">
        <v>9</v>
      </c>
      <c r="K70" s="1">
        <v>3</v>
      </c>
      <c r="L70" s="1">
        <v>85</v>
      </c>
      <c r="M70" s="16">
        <v>6073.2</v>
      </c>
      <c r="N70" s="39">
        <f>Data[[#This Row],[Gross Wages]]/Data[[#This Row],[No. of Hours Worked]]</f>
        <v>71.449411764705886</v>
      </c>
      <c r="P70" s="33"/>
    </row>
    <row r="71" spans="1:16" x14ac:dyDescent="0.3">
      <c r="A71" s="15" t="s">
        <v>46</v>
      </c>
      <c r="B71" s="1">
        <v>2023</v>
      </c>
      <c r="C71" s="10">
        <v>45261</v>
      </c>
      <c r="D71" s="2" t="s">
        <v>77</v>
      </c>
      <c r="E71" s="1" t="s">
        <v>66</v>
      </c>
      <c r="F71" s="1" t="s">
        <v>75</v>
      </c>
      <c r="G71" s="1" t="s">
        <v>68</v>
      </c>
      <c r="H71" s="2" t="s">
        <v>76</v>
      </c>
      <c r="I71" s="1" t="s">
        <v>0</v>
      </c>
      <c r="J71" s="1" t="s">
        <v>9</v>
      </c>
      <c r="K71" s="1">
        <v>3</v>
      </c>
      <c r="L71" s="1">
        <v>128</v>
      </c>
      <c r="M71" s="16">
        <v>7017.6</v>
      </c>
      <c r="N71" s="39">
        <f>Data[[#This Row],[Gross Wages]]/Data[[#This Row],[No. of Hours Worked]]</f>
        <v>54.825000000000003</v>
      </c>
      <c r="P71" s="33"/>
    </row>
    <row r="72" spans="1:16" x14ac:dyDescent="0.3">
      <c r="A72" s="15" t="s">
        <v>46</v>
      </c>
      <c r="B72" s="1">
        <v>2023</v>
      </c>
      <c r="C72" s="10">
        <v>45261</v>
      </c>
      <c r="D72" s="2" t="s">
        <v>77</v>
      </c>
      <c r="E72" s="1" t="s">
        <v>66</v>
      </c>
      <c r="F72" s="1" t="s">
        <v>70</v>
      </c>
      <c r="G72" s="1" t="s">
        <v>68</v>
      </c>
      <c r="H72" s="2" t="s">
        <v>71</v>
      </c>
      <c r="I72" s="1" t="s">
        <v>0</v>
      </c>
      <c r="J72" s="1" t="s">
        <v>9</v>
      </c>
      <c r="K72" s="1">
        <v>4</v>
      </c>
      <c r="L72" s="1">
        <v>259</v>
      </c>
      <c r="M72" s="16">
        <v>11551.64</v>
      </c>
      <c r="N72" s="39">
        <f>Data[[#This Row],[Gross Wages]]/Data[[#This Row],[No. of Hours Worked]]</f>
        <v>44.600926640926637</v>
      </c>
      <c r="P72" s="33"/>
    </row>
    <row r="73" spans="1:16" x14ac:dyDescent="0.3">
      <c r="A73" s="15" t="s">
        <v>46</v>
      </c>
      <c r="B73" s="1">
        <v>2023</v>
      </c>
      <c r="C73" s="10">
        <v>45261</v>
      </c>
      <c r="D73" s="2" t="s">
        <v>77</v>
      </c>
      <c r="E73" s="1" t="s">
        <v>66</v>
      </c>
      <c r="F73" s="1" t="s">
        <v>70</v>
      </c>
      <c r="G73" s="1" t="s">
        <v>68</v>
      </c>
      <c r="H73" s="2" t="s">
        <v>71</v>
      </c>
      <c r="I73" s="1" t="s">
        <v>0</v>
      </c>
      <c r="J73" s="1" t="s">
        <v>10</v>
      </c>
      <c r="K73" s="1">
        <v>0</v>
      </c>
      <c r="L73" s="1">
        <v>0</v>
      </c>
      <c r="M73" s="16"/>
      <c r="N73" s="39" t="e">
        <f>Data[[#This Row],[Gross Wages]]/Data[[#This Row],[No. of Hours Worked]]</f>
        <v>#DIV/0!</v>
      </c>
      <c r="P73" s="33"/>
    </row>
    <row r="74" spans="1:16" x14ac:dyDescent="0.3">
      <c r="A74" s="15" t="s">
        <v>46</v>
      </c>
      <c r="B74" s="1">
        <v>2023</v>
      </c>
      <c r="C74" s="10">
        <v>45261</v>
      </c>
      <c r="D74" s="2" t="s">
        <v>77</v>
      </c>
      <c r="E74" s="1" t="s">
        <v>66</v>
      </c>
      <c r="F74" s="1" t="s">
        <v>72</v>
      </c>
      <c r="G74" s="1" t="s">
        <v>73</v>
      </c>
      <c r="H74" s="2" t="s">
        <v>74</v>
      </c>
      <c r="I74" s="1" t="s">
        <v>0</v>
      </c>
      <c r="J74" s="1" t="s">
        <v>10</v>
      </c>
      <c r="K74" s="1">
        <v>0</v>
      </c>
      <c r="L74" s="1">
        <v>0</v>
      </c>
      <c r="M74" s="16"/>
      <c r="N74" s="39" t="e">
        <f>Data[[#This Row],[Gross Wages]]/Data[[#This Row],[No. of Hours Worked]]</f>
        <v>#DIV/0!</v>
      </c>
      <c r="P74" s="33"/>
    </row>
    <row r="75" spans="1:16" x14ac:dyDescent="0.3">
      <c r="A75" s="15" t="s">
        <v>46</v>
      </c>
      <c r="B75" s="1">
        <v>2023</v>
      </c>
      <c r="C75" s="10">
        <v>45261</v>
      </c>
      <c r="D75" s="2" t="s">
        <v>77</v>
      </c>
      <c r="E75" s="1" t="s">
        <v>66</v>
      </c>
      <c r="F75" s="1" t="s">
        <v>75</v>
      </c>
      <c r="G75" s="1" t="s">
        <v>68</v>
      </c>
      <c r="H75" s="2" t="s">
        <v>76</v>
      </c>
      <c r="I75" s="1" t="s">
        <v>0</v>
      </c>
      <c r="J75" s="1" t="s">
        <v>10</v>
      </c>
      <c r="K75" s="1">
        <v>0</v>
      </c>
      <c r="L75" s="1">
        <v>0</v>
      </c>
      <c r="M75" s="16"/>
      <c r="N75" s="39" t="e">
        <f>Data[[#This Row],[Gross Wages]]/Data[[#This Row],[No. of Hours Worked]]</f>
        <v>#DIV/0!</v>
      </c>
      <c r="P75" s="33"/>
    </row>
    <row r="76" spans="1:16" x14ac:dyDescent="0.3">
      <c r="A76" s="15" t="s">
        <v>128</v>
      </c>
      <c r="B76" s="1">
        <v>2023</v>
      </c>
      <c r="C76" s="10">
        <v>45261</v>
      </c>
      <c r="D76" s="34" t="s">
        <v>77</v>
      </c>
      <c r="E76" s="1" t="s">
        <v>66</v>
      </c>
      <c r="F76" s="1" t="s">
        <v>97</v>
      </c>
      <c r="G76" s="1" t="s">
        <v>68</v>
      </c>
      <c r="H76" s="2" t="s">
        <v>98</v>
      </c>
      <c r="I76" s="1" t="s">
        <v>1</v>
      </c>
      <c r="J76" s="1" t="s">
        <v>9</v>
      </c>
      <c r="K76" s="1">
        <v>1</v>
      </c>
      <c r="L76" s="1">
        <v>10.5</v>
      </c>
      <c r="M76" s="28">
        <v>374.54</v>
      </c>
      <c r="N76" s="39">
        <f>Data[[#This Row],[Gross Wages]]/Data[[#This Row],[No. of Hours Worked]]</f>
        <v>35.670476190476194</v>
      </c>
      <c r="P76" s="33"/>
    </row>
    <row r="77" spans="1:16" x14ac:dyDescent="0.3">
      <c r="A77" s="15" t="s">
        <v>128</v>
      </c>
      <c r="B77" s="1">
        <v>2023</v>
      </c>
      <c r="C77" s="10">
        <v>45261</v>
      </c>
      <c r="D77" s="34" t="s">
        <v>77</v>
      </c>
      <c r="E77" s="1" t="s">
        <v>66</v>
      </c>
      <c r="F77" s="1" t="s">
        <v>97</v>
      </c>
      <c r="G77" s="1" t="s">
        <v>68</v>
      </c>
      <c r="H77" s="2" t="s">
        <v>98</v>
      </c>
      <c r="I77" s="1" t="s">
        <v>0</v>
      </c>
      <c r="J77" s="1" t="s">
        <v>9</v>
      </c>
      <c r="K77" s="1">
        <v>3</v>
      </c>
      <c r="L77" s="1">
        <v>41.5</v>
      </c>
      <c r="M77" s="28">
        <v>1595.47</v>
      </c>
      <c r="N77" s="39">
        <f>Data[[#This Row],[Gross Wages]]/Data[[#This Row],[No. of Hours Worked]]</f>
        <v>38.445060240963855</v>
      </c>
      <c r="P77" s="33"/>
    </row>
    <row r="78" spans="1:16" x14ac:dyDescent="0.3">
      <c r="A78" s="15" t="s">
        <v>48</v>
      </c>
      <c r="B78" s="1">
        <v>2023</v>
      </c>
      <c r="C78" s="10">
        <v>45261</v>
      </c>
      <c r="D78" s="2" t="s">
        <v>77</v>
      </c>
      <c r="E78" s="1" t="s">
        <v>66</v>
      </c>
      <c r="F78" s="1" t="s">
        <v>84</v>
      </c>
      <c r="G78" s="1" t="s">
        <v>68</v>
      </c>
      <c r="H78" s="2" t="s">
        <v>85</v>
      </c>
      <c r="I78" s="1" t="s">
        <v>1</v>
      </c>
      <c r="J78" s="1" t="s">
        <v>9</v>
      </c>
      <c r="K78" s="1">
        <v>1</v>
      </c>
      <c r="L78" s="1">
        <v>9</v>
      </c>
      <c r="M78" s="16">
        <v>270</v>
      </c>
      <c r="N78" s="39">
        <f>Data[[#This Row],[Gross Wages]]/Data[[#This Row],[No. of Hours Worked]]</f>
        <v>30</v>
      </c>
      <c r="P78" s="33"/>
    </row>
    <row r="79" spans="1:16" x14ac:dyDescent="0.3">
      <c r="A79" s="15" t="s">
        <v>48</v>
      </c>
      <c r="B79" s="1">
        <v>2023</v>
      </c>
      <c r="C79" s="10">
        <v>45261</v>
      </c>
      <c r="D79" s="2" t="s">
        <v>77</v>
      </c>
      <c r="E79" s="1" t="s">
        <v>66</v>
      </c>
      <c r="F79" s="1" t="s">
        <v>84</v>
      </c>
      <c r="G79" s="1" t="s">
        <v>68</v>
      </c>
      <c r="H79" s="2" t="s">
        <v>85</v>
      </c>
      <c r="I79" s="1" t="s">
        <v>0</v>
      </c>
      <c r="J79" s="1" t="s">
        <v>9</v>
      </c>
      <c r="K79" s="1">
        <v>3</v>
      </c>
      <c r="L79" s="1">
        <v>42</v>
      </c>
      <c r="M79" s="16">
        <v>1952</v>
      </c>
      <c r="N79" s="39">
        <f>Data[[#This Row],[Gross Wages]]/Data[[#This Row],[No. of Hours Worked]]</f>
        <v>46.476190476190474</v>
      </c>
      <c r="P79" s="33"/>
    </row>
    <row r="80" spans="1:16" x14ac:dyDescent="0.3">
      <c r="A80" s="15" t="s">
        <v>48</v>
      </c>
      <c r="B80" s="1">
        <v>2023</v>
      </c>
      <c r="C80" s="10">
        <v>45261</v>
      </c>
      <c r="D80" s="2" t="s">
        <v>77</v>
      </c>
      <c r="E80" s="1" t="s">
        <v>66</v>
      </c>
      <c r="F80" s="1" t="s">
        <v>84</v>
      </c>
      <c r="G80" s="1" t="s">
        <v>68</v>
      </c>
      <c r="H80" s="2" t="s">
        <v>85</v>
      </c>
      <c r="I80" s="1" t="s">
        <v>0</v>
      </c>
      <c r="J80" s="1" t="s">
        <v>10</v>
      </c>
      <c r="K80" s="1">
        <v>0</v>
      </c>
      <c r="L80" s="1">
        <v>0</v>
      </c>
      <c r="M80" s="16"/>
      <c r="N80" s="39" t="e">
        <f>Data[[#This Row],[Gross Wages]]/Data[[#This Row],[No. of Hours Worked]]</f>
        <v>#DIV/0!</v>
      </c>
      <c r="P80" s="33"/>
    </row>
    <row r="81" spans="1:16" x14ac:dyDescent="0.3">
      <c r="A81" s="15" t="s">
        <v>48</v>
      </c>
      <c r="B81" s="1">
        <v>2023</v>
      </c>
      <c r="C81" s="10">
        <v>45261</v>
      </c>
      <c r="D81" s="2" t="s">
        <v>77</v>
      </c>
      <c r="E81" s="1" t="s">
        <v>66</v>
      </c>
      <c r="F81" s="1" t="s">
        <v>84</v>
      </c>
      <c r="G81" s="1" t="s">
        <v>68</v>
      </c>
      <c r="H81" s="2" t="s">
        <v>85</v>
      </c>
      <c r="I81" s="1" t="s">
        <v>1</v>
      </c>
      <c r="J81" s="1" t="s">
        <v>10</v>
      </c>
      <c r="K81" s="1">
        <v>0</v>
      </c>
      <c r="L81" s="1">
        <v>0</v>
      </c>
      <c r="M81" s="16"/>
      <c r="N81" s="39" t="e">
        <f>Data[[#This Row],[Gross Wages]]/Data[[#This Row],[No. of Hours Worked]]</f>
        <v>#DIV/0!</v>
      </c>
      <c r="P81" s="33"/>
    </row>
    <row r="82" spans="1:16" x14ac:dyDescent="0.3">
      <c r="A82" s="15" t="s">
        <v>49</v>
      </c>
      <c r="B82" s="1">
        <v>2023</v>
      </c>
      <c r="C82" s="10">
        <v>45261</v>
      </c>
      <c r="D82" s="2" t="s">
        <v>77</v>
      </c>
      <c r="E82" s="1" t="s">
        <v>66</v>
      </c>
      <c r="F82" s="1" t="s">
        <v>75</v>
      </c>
      <c r="G82" s="1" t="s">
        <v>68</v>
      </c>
      <c r="H82" s="2" t="s">
        <v>76</v>
      </c>
      <c r="I82" s="1" t="s">
        <v>0</v>
      </c>
      <c r="J82" s="1" t="s">
        <v>9</v>
      </c>
      <c r="K82" s="1">
        <v>1</v>
      </c>
      <c r="L82" s="1">
        <v>17</v>
      </c>
      <c r="M82" s="16">
        <v>1260.72</v>
      </c>
      <c r="N82" s="39">
        <f>Data[[#This Row],[Gross Wages]]/Data[[#This Row],[No. of Hours Worked]]</f>
        <v>74.16</v>
      </c>
      <c r="P82" s="33"/>
    </row>
    <row r="83" spans="1:16" x14ac:dyDescent="0.3">
      <c r="A83" s="15" t="s">
        <v>49</v>
      </c>
      <c r="B83" s="1">
        <v>2023</v>
      </c>
      <c r="C83" s="10">
        <v>45261</v>
      </c>
      <c r="D83" s="2" t="s">
        <v>77</v>
      </c>
      <c r="E83" s="1" t="s">
        <v>66</v>
      </c>
      <c r="F83" s="1" t="s">
        <v>67</v>
      </c>
      <c r="G83" s="1" t="s">
        <v>68</v>
      </c>
      <c r="H83" s="2" t="s">
        <v>69</v>
      </c>
      <c r="I83" s="1" t="s">
        <v>0</v>
      </c>
      <c r="J83" s="1" t="s">
        <v>9</v>
      </c>
      <c r="K83" s="1">
        <v>3</v>
      </c>
      <c r="L83" s="1">
        <v>302</v>
      </c>
      <c r="M83" s="16">
        <v>20810.82</v>
      </c>
      <c r="N83" s="39">
        <f>Data[[#This Row],[Gross Wages]]/Data[[#This Row],[No. of Hours Worked]]</f>
        <v>68.91</v>
      </c>
      <c r="P83" s="33"/>
    </row>
    <row r="84" spans="1:16" x14ac:dyDescent="0.3">
      <c r="A84" s="15" t="s">
        <v>49</v>
      </c>
      <c r="B84" s="1">
        <v>2023</v>
      </c>
      <c r="C84" s="10">
        <v>45261</v>
      </c>
      <c r="D84" s="2" t="s">
        <v>77</v>
      </c>
      <c r="E84" s="1" t="s">
        <v>66</v>
      </c>
      <c r="F84" s="1" t="s">
        <v>67</v>
      </c>
      <c r="G84" s="1" t="s">
        <v>68</v>
      </c>
      <c r="H84" s="2" t="s">
        <v>69</v>
      </c>
      <c r="I84" s="1" t="s">
        <v>0</v>
      </c>
      <c r="J84" s="1" t="s">
        <v>10</v>
      </c>
      <c r="K84" s="1">
        <v>0</v>
      </c>
      <c r="L84" s="1">
        <v>0</v>
      </c>
      <c r="M84" s="16"/>
      <c r="N84" s="39" t="e">
        <f>Data[[#This Row],[Gross Wages]]/Data[[#This Row],[No. of Hours Worked]]</f>
        <v>#DIV/0!</v>
      </c>
      <c r="P84" s="33"/>
    </row>
    <row r="85" spans="1:16" x14ac:dyDescent="0.3">
      <c r="A85" s="15" t="s">
        <v>49</v>
      </c>
      <c r="B85" s="1">
        <v>2023</v>
      </c>
      <c r="C85" s="10">
        <v>45261</v>
      </c>
      <c r="D85" s="2" t="s">
        <v>77</v>
      </c>
      <c r="E85" s="1" t="s">
        <v>66</v>
      </c>
      <c r="F85" s="1" t="s">
        <v>75</v>
      </c>
      <c r="G85" s="1" t="s">
        <v>68</v>
      </c>
      <c r="H85" s="2" t="s">
        <v>76</v>
      </c>
      <c r="I85" s="1" t="s">
        <v>0</v>
      </c>
      <c r="J85" s="1" t="s">
        <v>10</v>
      </c>
      <c r="K85" s="1">
        <v>0</v>
      </c>
      <c r="L85" s="1">
        <v>0</v>
      </c>
      <c r="M85" s="16"/>
      <c r="N85" s="39" t="e">
        <f>Data[[#This Row],[Gross Wages]]/Data[[#This Row],[No. of Hours Worked]]</f>
        <v>#DIV/0!</v>
      </c>
      <c r="P85" s="33"/>
    </row>
    <row r="86" spans="1:16" x14ac:dyDescent="0.3">
      <c r="A86" s="15" t="s">
        <v>144</v>
      </c>
      <c r="B86" s="1">
        <v>2023</v>
      </c>
      <c r="C86" s="10">
        <v>45261</v>
      </c>
      <c r="D86" s="34" t="s">
        <v>77</v>
      </c>
      <c r="E86" s="1" t="s">
        <v>66</v>
      </c>
      <c r="F86" s="1" t="s">
        <v>95</v>
      </c>
      <c r="G86" s="1" t="s">
        <v>68</v>
      </c>
      <c r="H86" s="2" t="s">
        <v>96</v>
      </c>
      <c r="I86" s="1" t="s">
        <v>0</v>
      </c>
      <c r="J86" s="1" t="s">
        <v>9</v>
      </c>
      <c r="K86" s="1">
        <v>4</v>
      </c>
      <c r="L86" s="1">
        <v>572</v>
      </c>
      <c r="M86" s="28">
        <v>35377.279999999999</v>
      </c>
      <c r="N86" s="39">
        <f>Data[[#This Row],[Gross Wages]]/Data[[#This Row],[No. of Hours Worked]]</f>
        <v>61.848391608391609</v>
      </c>
      <c r="P86" s="33"/>
    </row>
    <row r="87" spans="1:16" x14ac:dyDescent="0.3">
      <c r="A87" s="15" t="s">
        <v>144</v>
      </c>
      <c r="B87" s="1">
        <v>2023</v>
      </c>
      <c r="C87" s="10">
        <v>45261</v>
      </c>
      <c r="D87" s="34" t="s">
        <v>77</v>
      </c>
      <c r="E87" s="1" t="s">
        <v>66</v>
      </c>
      <c r="F87" s="1" t="s">
        <v>145</v>
      </c>
      <c r="G87" s="1" t="s">
        <v>68</v>
      </c>
      <c r="H87" s="2" t="s">
        <v>146</v>
      </c>
      <c r="I87" s="1" t="s">
        <v>0</v>
      </c>
      <c r="J87" s="1" t="s">
        <v>9</v>
      </c>
      <c r="K87" s="1">
        <v>5</v>
      </c>
      <c r="L87" s="1">
        <v>733</v>
      </c>
      <c r="M87" s="28">
        <v>34992.32</v>
      </c>
      <c r="N87" s="39">
        <f>Data[[#This Row],[Gross Wages]]/Data[[#This Row],[No. of Hours Worked]]</f>
        <v>47.738499317871756</v>
      </c>
      <c r="P87" s="33"/>
    </row>
    <row r="88" spans="1:16" x14ac:dyDescent="0.3">
      <c r="A88" s="15" t="s">
        <v>144</v>
      </c>
      <c r="B88" s="1">
        <v>2023</v>
      </c>
      <c r="C88" s="10">
        <v>45261</v>
      </c>
      <c r="D88" s="34" t="s">
        <v>77</v>
      </c>
      <c r="E88" s="1" t="s">
        <v>66</v>
      </c>
      <c r="F88" s="1" t="s">
        <v>95</v>
      </c>
      <c r="G88" s="1" t="s">
        <v>68</v>
      </c>
      <c r="H88" s="2" t="s">
        <v>96</v>
      </c>
      <c r="I88" s="1" t="s">
        <v>3</v>
      </c>
      <c r="J88" s="1" t="s">
        <v>9</v>
      </c>
      <c r="K88" s="1">
        <v>1</v>
      </c>
      <c r="L88" s="1">
        <v>168</v>
      </c>
      <c r="M88" s="28">
        <v>16800</v>
      </c>
      <c r="N88" s="39">
        <f>Data[[#This Row],[Gross Wages]]/Data[[#This Row],[No. of Hours Worked]]</f>
        <v>100</v>
      </c>
      <c r="P88" s="33"/>
    </row>
    <row r="89" spans="1:16" x14ac:dyDescent="0.3">
      <c r="A89" s="15" t="s">
        <v>144</v>
      </c>
      <c r="B89" s="1">
        <v>2023</v>
      </c>
      <c r="C89" s="10">
        <v>45261</v>
      </c>
      <c r="D89" s="34" t="s">
        <v>77</v>
      </c>
      <c r="E89" s="1" t="s">
        <v>66</v>
      </c>
      <c r="F89" s="1" t="s">
        <v>95</v>
      </c>
      <c r="G89" s="1" t="s">
        <v>68</v>
      </c>
      <c r="H89" s="2" t="s">
        <v>96</v>
      </c>
      <c r="I89" s="1" t="s">
        <v>1</v>
      </c>
      <c r="J89" s="1" t="s">
        <v>9</v>
      </c>
      <c r="K89" s="1">
        <v>1</v>
      </c>
      <c r="L89" s="1">
        <v>120</v>
      </c>
      <c r="M89" s="28">
        <v>6211.68</v>
      </c>
      <c r="N89" s="39">
        <f>Data[[#This Row],[Gross Wages]]/Data[[#This Row],[No. of Hours Worked]]</f>
        <v>51.764000000000003</v>
      </c>
      <c r="P89" s="33"/>
    </row>
    <row r="90" spans="1:16" x14ac:dyDescent="0.3">
      <c r="A90" s="15" t="s">
        <v>144</v>
      </c>
      <c r="B90" s="1">
        <v>2023</v>
      </c>
      <c r="C90" s="10">
        <v>45261</v>
      </c>
      <c r="D90" s="34" t="s">
        <v>77</v>
      </c>
      <c r="E90" s="1" t="s">
        <v>66</v>
      </c>
      <c r="F90" s="1" t="s">
        <v>145</v>
      </c>
      <c r="G90" s="1" t="s">
        <v>68</v>
      </c>
      <c r="H90" s="2" t="s">
        <v>146</v>
      </c>
      <c r="I90" s="1" t="s">
        <v>111</v>
      </c>
      <c r="J90" s="1" t="s">
        <v>9</v>
      </c>
      <c r="K90" s="1">
        <v>1</v>
      </c>
      <c r="L90" s="1">
        <v>184</v>
      </c>
      <c r="M90" s="28">
        <v>8529.6</v>
      </c>
      <c r="N90" s="39">
        <f>Data[[#This Row],[Gross Wages]]/Data[[#This Row],[No. of Hours Worked]]</f>
        <v>46.356521739130436</v>
      </c>
      <c r="P90" s="33"/>
    </row>
    <row r="91" spans="1:16" x14ac:dyDescent="0.3">
      <c r="A91" s="15" t="s">
        <v>39</v>
      </c>
      <c r="B91" s="1">
        <v>2024</v>
      </c>
      <c r="C91" s="10">
        <v>45292</v>
      </c>
      <c r="D91" s="2" t="s">
        <v>86</v>
      </c>
      <c r="E91" s="1" t="s">
        <v>66</v>
      </c>
      <c r="F91" s="1" t="s">
        <v>78</v>
      </c>
      <c r="G91" s="1" t="s">
        <v>68</v>
      </c>
      <c r="H91" s="2" t="s">
        <v>79</v>
      </c>
      <c r="I91" s="1" t="s">
        <v>0</v>
      </c>
      <c r="J91" s="1" t="s">
        <v>9</v>
      </c>
      <c r="K91" s="1">
        <v>2</v>
      </c>
      <c r="L91" s="1">
        <v>20</v>
      </c>
      <c r="M91" s="16"/>
      <c r="N91" s="39">
        <f>Data[[#This Row],[Gross Wages]]/Data[[#This Row],[No. of Hours Worked]]</f>
        <v>0</v>
      </c>
      <c r="P91" s="33"/>
    </row>
    <row r="92" spans="1:16" x14ac:dyDescent="0.3">
      <c r="A92" s="15" t="s">
        <v>39</v>
      </c>
      <c r="B92" s="1">
        <v>2024</v>
      </c>
      <c r="C92" s="10">
        <v>45292</v>
      </c>
      <c r="D92" s="2" t="s">
        <v>86</v>
      </c>
      <c r="E92" s="1" t="s">
        <v>66</v>
      </c>
      <c r="F92" s="1" t="s">
        <v>78</v>
      </c>
      <c r="G92" s="1" t="s">
        <v>68</v>
      </c>
      <c r="H92" s="2" t="s">
        <v>79</v>
      </c>
      <c r="I92" s="1" t="s">
        <v>0</v>
      </c>
      <c r="J92" s="1" t="s">
        <v>10</v>
      </c>
      <c r="K92" s="1">
        <v>0</v>
      </c>
      <c r="L92" s="1">
        <v>0</v>
      </c>
      <c r="M92" s="16"/>
      <c r="N92" s="39" t="e">
        <f>Data[[#This Row],[Gross Wages]]/Data[[#This Row],[No. of Hours Worked]]</f>
        <v>#DIV/0!</v>
      </c>
      <c r="P92" s="33"/>
    </row>
    <row r="93" spans="1:16" x14ac:dyDescent="0.3">
      <c r="A93" s="15" t="s">
        <v>45</v>
      </c>
      <c r="B93" s="1">
        <v>2024</v>
      </c>
      <c r="C93" s="10">
        <v>45292</v>
      </c>
      <c r="D93" s="2" t="s">
        <v>86</v>
      </c>
      <c r="E93" s="1" t="s">
        <v>66</v>
      </c>
      <c r="F93" s="1" t="s">
        <v>67</v>
      </c>
      <c r="G93" s="1" t="s">
        <v>68</v>
      </c>
      <c r="H93" s="2" t="s">
        <v>69</v>
      </c>
      <c r="I93" s="1" t="s">
        <v>0</v>
      </c>
      <c r="J93" s="1" t="s">
        <v>9</v>
      </c>
      <c r="K93" s="1">
        <v>3</v>
      </c>
      <c r="L93" s="1">
        <v>456</v>
      </c>
      <c r="M93" s="16"/>
      <c r="N93" s="39">
        <f>Data[[#This Row],[Gross Wages]]/Data[[#This Row],[No. of Hours Worked]]</f>
        <v>0</v>
      </c>
      <c r="P93" s="33"/>
    </row>
    <row r="94" spans="1:16" x14ac:dyDescent="0.3">
      <c r="A94" s="15" t="s">
        <v>45</v>
      </c>
      <c r="B94" s="1">
        <v>2024</v>
      </c>
      <c r="C94" s="10">
        <v>45292</v>
      </c>
      <c r="D94" s="2" t="s">
        <v>86</v>
      </c>
      <c r="E94" s="1" t="s">
        <v>66</v>
      </c>
      <c r="F94" s="1" t="s">
        <v>67</v>
      </c>
      <c r="G94" s="1" t="s">
        <v>68</v>
      </c>
      <c r="H94" s="2" t="s">
        <v>69</v>
      </c>
      <c r="I94" s="1" t="s">
        <v>0</v>
      </c>
      <c r="J94" s="1" t="s">
        <v>10</v>
      </c>
      <c r="K94" s="1">
        <v>0</v>
      </c>
      <c r="L94" s="1">
        <v>0</v>
      </c>
      <c r="M94" s="16"/>
      <c r="N94" s="39" t="e">
        <f>Data[[#This Row],[Gross Wages]]/Data[[#This Row],[No. of Hours Worked]]</f>
        <v>#DIV/0!</v>
      </c>
      <c r="P94" s="33"/>
    </row>
    <row r="95" spans="1:16" x14ac:dyDescent="0.3">
      <c r="A95" s="15" t="s">
        <v>124</v>
      </c>
      <c r="B95" s="1">
        <v>2024</v>
      </c>
      <c r="C95" s="10">
        <v>45292</v>
      </c>
      <c r="D95" s="34" t="s">
        <v>86</v>
      </c>
      <c r="E95" s="1" t="s">
        <v>66</v>
      </c>
      <c r="F95" s="1" t="s">
        <v>72</v>
      </c>
      <c r="G95" s="1" t="s">
        <v>73</v>
      </c>
      <c r="H95" s="2" t="s">
        <v>74</v>
      </c>
      <c r="I95" s="1" t="s">
        <v>0</v>
      </c>
      <c r="J95" s="1" t="s">
        <v>9</v>
      </c>
      <c r="K95" s="1">
        <v>2</v>
      </c>
      <c r="L95" s="1">
        <v>6</v>
      </c>
      <c r="M95" s="28">
        <v>310.2</v>
      </c>
      <c r="N95" s="39">
        <f>Data[[#This Row],[Gross Wages]]/Data[[#This Row],[No. of Hours Worked]]</f>
        <v>51.699999999999996</v>
      </c>
      <c r="P95" s="33"/>
    </row>
    <row r="96" spans="1:16" x14ac:dyDescent="0.3">
      <c r="A96" s="15" t="s">
        <v>46</v>
      </c>
      <c r="B96" s="1">
        <v>2024</v>
      </c>
      <c r="C96" s="10">
        <v>45292</v>
      </c>
      <c r="D96" s="2" t="s">
        <v>86</v>
      </c>
      <c r="E96" s="1"/>
      <c r="F96" s="1"/>
      <c r="G96" s="1"/>
      <c r="H96" s="2"/>
      <c r="I96" s="1" t="s">
        <v>0</v>
      </c>
      <c r="J96" s="1" t="s">
        <v>9</v>
      </c>
      <c r="K96" s="1">
        <v>3</v>
      </c>
      <c r="L96" s="1">
        <v>216</v>
      </c>
      <c r="M96" s="16"/>
      <c r="N96" s="39">
        <f>Data[[#This Row],[Gross Wages]]/Data[[#This Row],[No. of Hours Worked]]</f>
        <v>0</v>
      </c>
      <c r="P96" s="33"/>
    </row>
    <row r="97" spans="1:16" x14ac:dyDescent="0.3">
      <c r="A97" s="15" t="s">
        <v>140</v>
      </c>
      <c r="B97" s="1">
        <v>2024</v>
      </c>
      <c r="C97" s="10">
        <v>45292</v>
      </c>
      <c r="D97" s="34" t="s">
        <v>86</v>
      </c>
      <c r="E97" s="1" t="s">
        <v>66</v>
      </c>
      <c r="F97" s="1" t="s">
        <v>70</v>
      </c>
      <c r="G97" s="1" t="s">
        <v>68</v>
      </c>
      <c r="H97" s="2" t="s">
        <v>71</v>
      </c>
      <c r="I97" s="1" t="s">
        <v>0</v>
      </c>
      <c r="J97" s="1" t="s">
        <v>9</v>
      </c>
      <c r="K97" s="1">
        <v>9</v>
      </c>
      <c r="L97" s="1">
        <v>796</v>
      </c>
      <c r="M97" s="28">
        <v>23735.96</v>
      </c>
      <c r="N97" s="39">
        <f>Data[[#This Row],[Gross Wages]]/Data[[#This Row],[No. of Hours Worked]]</f>
        <v>29.819045226130651</v>
      </c>
      <c r="P97" s="33"/>
    </row>
    <row r="98" spans="1:16" x14ac:dyDescent="0.3">
      <c r="A98" s="15" t="s">
        <v>47</v>
      </c>
      <c r="B98" s="1">
        <v>2024</v>
      </c>
      <c r="C98" s="10">
        <v>45292</v>
      </c>
      <c r="D98" s="2" t="s">
        <v>86</v>
      </c>
      <c r="E98" s="1"/>
      <c r="F98" s="1"/>
      <c r="G98" s="1"/>
      <c r="H98" s="2"/>
      <c r="I98" s="1" t="s">
        <v>0</v>
      </c>
      <c r="J98" s="1" t="s">
        <v>9</v>
      </c>
      <c r="K98" s="1">
        <v>2</v>
      </c>
      <c r="L98" s="1">
        <v>20</v>
      </c>
      <c r="M98" s="16"/>
      <c r="N98" s="39">
        <f>Data[[#This Row],[Gross Wages]]/Data[[#This Row],[No. of Hours Worked]]</f>
        <v>0</v>
      </c>
      <c r="P98" s="33"/>
    </row>
    <row r="99" spans="1:16" x14ac:dyDescent="0.3">
      <c r="A99" s="15" t="s">
        <v>128</v>
      </c>
      <c r="B99" s="1">
        <v>2024</v>
      </c>
      <c r="C99" s="10">
        <v>45292</v>
      </c>
      <c r="D99" s="34" t="s">
        <v>86</v>
      </c>
      <c r="E99" s="1" t="s">
        <v>66</v>
      </c>
      <c r="F99" s="1" t="s">
        <v>97</v>
      </c>
      <c r="G99" s="1" t="s">
        <v>68</v>
      </c>
      <c r="H99" s="2" t="s">
        <v>98</v>
      </c>
      <c r="I99" s="1" t="s">
        <v>1</v>
      </c>
      <c r="J99" s="1" t="s">
        <v>9</v>
      </c>
      <c r="K99" s="1">
        <v>1</v>
      </c>
      <c r="L99" s="1">
        <v>10.5</v>
      </c>
      <c r="M99" s="16">
        <v>383.45</v>
      </c>
      <c r="N99" s="39">
        <f>Data[[#This Row],[Gross Wages]]/Data[[#This Row],[No. of Hours Worked]]</f>
        <v>36.519047619047619</v>
      </c>
      <c r="P99" s="33"/>
    </row>
    <row r="100" spans="1:16" x14ac:dyDescent="0.3">
      <c r="A100" s="15" t="s">
        <v>128</v>
      </c>
      <c r="B100" s="1">
        <v>2024</v>
      </c>
      <c r="C100" s="10">
        <v>45292</v>
      </c>
      <c r="D100" s="34" t="s">
        <v>86</v>
      </c>
      <c r="E100" s="1" t="s">
        <v>66</v>
      </c>
      <c r="F100" s="1" t="s">
        <v>97</v>
      </c>
      <c r="G100" s="1" t="s">
        <v>68</v>
      </c>
      <c r="H100" s="2" t="s">
        <v>98</v>
      </c>
      <c r="I100" s="1" t="s">
        <v>0</v>
      </c>
      <c r="J100" s="1" t="s">
        <v>9</v>
      </c>
      <c r="K100" s="1">
        <v>2</v>
      </c>
      <c r="L100" s="1">
        <v>39.5</v>
      </c>
      <c r="M100" s="16">
        <v>1597.16</v>
      </c>
      <c r="N100" s="39">
        <f>Data[[#This Row],[Gross Wages]]/Data[[#This Row],[No. of Hours Worked]]</f>
        <v>40.434430379746836</v>
      </c>
      <c r="P100" s="33"/>
    </row>
    <row r="101" spans="1:16" x14ac:dyDescent="0.3">
      <c r="A101" s="15" t="s">
        <v>48</v>
      </c>
      <c r="B101" s="1">
        <v>2024</v>
      </c>
      <c r="C101" s="10">
        <v>45292</v>
      </c>
      <c r="D101" s="2" t="s">
        <v>86</v>
      </c>
      <c r="E101" s="1"/>
      <c r="F101" s="1"/>
      <c r="G101" s="1"/>
      <c r="H101" s="2"/>
      <c r="I101" s="1" t="s">
        <v>0</v>
      </c>
      <c r="J101" s="1" t="s">
        <v>9</v>
      </c>
      <c r="K101" s="1">
        <v>4</v>
      </c>
      <c r="L101" s="1">
        <v>28</v>
      </c>
      <c r="M101" s="16"/>
      <c r="N101" s="39">
        <f>Data[[#This Row],[Gross Wages]]/Data[[#This Row],[No. of Hours Worked]]</f>
        <v>0</v>
      </c>
      <c r="P101" s="33"/>
    </row>
    <row r="102" spans="1:16" x14ac:dyDescent="0.3">
      <c r="A102" s="15" t="s">
        <v>48</v>
      </c>
      <c r="B102" s="1">
        <v>2024</v>
      </c>
      <c r="C102" s="10">
        <v>45292</v>
      </c>
      <c r="D102" s="2" t="s">
        <v>86</v>
      </c>
      <c r="E102" s="1"/>
      <c r="F102" s="1"/>
      <c r="G102" s="1"/>
      <c r="H102" s="2"/>
      <c r="I102" s="1" t="s">
        <v>1</v>
      </c>
      <c r="J102" s="1" t="s">
        <v>9</v>
      </c>
      <c r="K102" s="1">
        <v>1</v>
      </c>
      <c r="L102" s="1">
        <v>9</v>
      </c>
      <c r="M102" s="16"/>
      <c r="N102" s="39">
        <f>Data[[#This Row],[Gross Wages]]/Data[[#This Row],[No. of Hours Worked]]</f>
        <v>0</v>
      </c>
      <c r="P102" s="33"/>
    </row>
    <row r="103" spans="1:16" x14ac:dyDescent="0.3">
      <c r="A103" s="15" t="s">
        <v>49</v>
      </c>
      <c r="B103" s="1">
        <v>2024</v>
      </c>
      <c r="C103" s="10">
        <v>45292</v>
      </c>
      <c r="D103" s="2" t="s">
        <v>86</v>
      </c>
      <c r="E103" s="1"/>
      <c r="F103" s="1"/>
      <c r="G103" s="1"/>
      <c r="H103" s="2"/>
      <c r="I103" s="1" t="s">
        <v>0</v>
      </c>
      <c r="J103" s="1" t="s">
        <v>9</v>
      </c>
      <c r="K103" s="1">
        <v>6</v>
      </c>
      <c r="L103" s="1">
        <v>454.5</v>
      </c>
      <c r="M103" s="16"/>
      <c r="N103" s="39">
        <f>Data[[#This Row],[Gross Wages]]/Data[[#This Row],[No. of Hours Worked]]</f>
        <v>0</v>
      </c>
      <c r="P103" s="33"/>
    </row>
    <row r="104" spans="1:16" x14ac:dyDescent="0.3">
      <c r="A104" s="15" t="s">
        <v>129</v>
      </c>
      <c r="B104" s="1">
        <v>2024</v>
      </c>
      <c r="C104" s="10">
        <v>45292</v>
      </c>
      <c r="D104" s="34" t="s">
        <v>86</v>
      </c>
      <c r="E104" s="1" t="s">
        <v>80</v>
      </c>
      <c r="F104" s="1" t="s">
        <v>130</v>
      </c>
      <c r="G104" s="1" t="s">
        <v>68</v>
      </c>
      <c r="H104" s="2" t="s">
        <v>131</v>
      </c>
      <c r="I104" s="1" t="s">
        <v>0</v>
      </c>
      <c r="J104" s="1" t="s">
        <v>9</v>
      </c>
      <c r="K104" s="1">
        <v>7</v>
      </c>
      <c r="L104" s="1">
        <v>229.25</v>
      </c>
      <c r="M104" s="28">
        <v>12178.71</v>
      </c>
      <c r="N104" s="39">
        <f>Data[[#This Row],[Gross Wages]]/Data[[#This Row],[No. of Hours Worked]]</f>
        <v>53.124143947655391</v>
      </c>
      <c r="P104" s="33"/>
    </row>
    <row r="105" spans="1:16" x14ac:dyDescent="0.3">
      <c r="A105" s="15" t="s">
        <v>144</v>
      </c>
      <c r="B105" s="1">
        <v>2024</v>
      </c>
      <c r="C105" s="10">
        <v>45292</v>
      </c>
      <c r="D105" s="34" t="s">
        <v>86</v>
      </c>
      <c r="E105" s="1" t="s">
        <v>66</v>
      </c>
      <c r="F105" s="1" t="s">
        <v>95</v>
      </c>
      <c r="G105" s="1" t="s">
        <v>68</v>
      </c>
      <c r="H105" s="2" t="s">
        <v>96</v>
      </c>
      <c r="I105" s="1" t="s">
        <v>0</v>
      </c>
      <c r="J105" s="1" t="s">
        <v>9</v>
      </c>
      <c r="K105" s="1">
        <v>4</v>
      </c>
      <c r="L105" s="1">
        <v>343</v>
      </c>
      <c r="M105" s="28">
        <v>20649.78</v>
      </c>
      <c r="N105" s="39">
        <f>Data[[#This Row],[Gross Wages]]/Data[[#This Row],[No. of Hours Worked]]</f>
        <v>60.203440233236151</v>
      </c>
      <c r="P105" s="33"/>
    </row>
    <row r="106" spans="1:16" x14ac:dyDescent="0.3">
      <c r="A106" s="15" t="s">
        <v>144</v>
      </c>
      <c r="B106" s="1">
        <v>2024</v>
      </c>
      <c r="C106" s="10">
        <v>45292</v>
      </c>
      <c r="D106" s="34" t="s">
        <v>86</v>
      </c>
      <c r="E106" s="1" t="s">
        <v>66</v>
      </c>
      <c r="F106" s="1" t="s">
        <v>145</v>
      </c>
      <c r="G106" s="1" t="s">
        <v>68</v>
      </c>
      <c r="H106" s="2" t="s">
        <v>146</v>
      </c>
      <c r="I106" s="1" t="s">
        <v>0</v>
      </c>
      <c r="J106" s="1" t="s">
        <v>9</v>
      </c>
      <c r="K106" s="1">
        <v>5</v>
      </c>
      <c r="L106" s="1">
        <v>597</v>
      </c>
      <c r="M106" s="28">
        <v>28817.439999999999</v>
      </c>
      <c r="N106" s="39">
        <f>Data[[#This Row],[Gross Wages]]/Data[[#This Row],[No. of Hours Worked]]</f>
        <v>48.270418760469006</v>
      </c>
      <c r="P106" s="33"/>
    </row>
    <row r="107" spans="1:16" x14ac:dyDescent="0.3">
      <c r="A107" s="15" t="s">
        <v>144</v>
      </c>
      <c r="B107" s="1">
        <v>2024</v>
      </c>
      <c r="C107" s="10">
        <v>45292</v>
      </c>
      <c r="D107" s="34" t="s">
        <v>86</v>
      </c>
      <c r="E107" s="1" t="s">
        <v>66</v>
      </c>
      <c r="F107" s="1" t="s">
        <v>95</v>
      </c>
      <c r="G107" s="1" t="s">
        <v>68</v>
      </c>
      <c r="H107" s="2" t="s">
        <v>96</v>
      </c>
      <c r="I107" s="1" t="s">
        <v>3</v>
      </c>
      <c r="J107" s="1" t="s">
        <v>9</v>
      </c>
      <c r="K107" s="1">
        <v>1</v>
      </c>
      <c r="L107" s="1">
        <v>128</v>
      </c>
      <c r="M107" s="28">
        <v>12800</v>
      </c>
      <c r="N107" s="39">
        <f>Data[[#This Row],[Gross Wages]]/Data[[#This Row],[No. of Hours Worked]]</f>
        <v>100</v>
      </c>
      <c r="P107" s="33"/>
    </row>
    <row r="108" spans="1:16" x14ac:dyDescent="0.3">
      <c r="A108" s="15" t="s">
        <v>144</v>
      </c>
      <c r="B108" s="1">
        <v>2024</v>
      </c>
      <c r="C108" s="10">
        <v>45292</v>
      </c>
      <c r="D108" s="34" t="s">
        <v>86</v>
      </c>
      <c r="E108" s="1" t="s">
        <v>66</v>
      </c>
      <c r="F108" s="1" t="s">
        <v>145</v>
      </c>
      <c r="G108" s="1" t="s">
        <v>68</v>
      </c>
      <c r="H108" s="2" t="s">
        <v>146</v>
      </c>
      <c r="I108" s="1" t="s">
        <v>111</v>
      </c>
      <c r="J108" s="1" t="s">
        <v>9</v>
      </c>
      <c r="K108" s="1">
        <v>1</v>
      </c>
      <c r="L108" s="1">
        <v>96</v>
      </c>
      <c r="M108" s="28">
        <v>4627.2</v>
      </c>
      <c r="N108" s="39">
        <f>Data[[#This Row],[Gross Wages]]/Data[[#This Row],[No. of Hours Worked]]</f>
        <v>48.199999999999996</v>
      </c>
      <c r="P108" s="33"/>
    </row>
    <row r="109" spans="1:16" x14ac:dyDescent="0.3">
      <c r="A109" s="15" t="s">
        <v>41</v>
      </c>
      <c r="B109" s="1">
        <v>2024</v>
      </c>
      <c r="C109" s="10">
        <v>45323</v>
      </c>
      <c r="D109" s="2" t="s">
        <v>86</v>
      </c>
      <c r="E109" s="1"/>
      <c r="F109" s="1"/>
      <c r="G109" s="1"/>
      <c r="H109" s="2"/>
      <c r="I109" s="1" t="s">
        <v>0</v>
      </c>
      <c r="J109" s="1" t="s">
        <v>9</v>
      </c>
      <c r="K109" s="1">
        <v>8</v>
      </c>
      <c r="L109" s="1">
        <v>66.5</v>
      </c>
      <c r="M109" s="16"/>
      <c r="N109" s="39">
        <f>Data[[#This Row],[Gross Wages]]/Data[[#This Row],[No. of Hours Worked]]</f>
        <v>0</v>
      </c>
      <c r="P109" s="33"/>
    </row>
    <row r="110" spans="1:16" x14ac:dyDescent="0.3">
      <c r="A110" s="15" t="s">
        <v>44</v>
      </c>
      <c r="B110" s="1">
        <v>2024</v>
      </c>
      <c r="C110" s="10">
        <v>45323</v>
      </c>
      <c r="D110" s="2" t="s">
        <v>86</v>
      </c>
      <c r="E110" s="1"/>
      <c r="F110" s="1"/>
      <c r="G110" s="1"/>
      <c r="H110" s="2"/>
      <c r="I110" s="1" t="s">
        <v>0</v>
      </c>
      <c r="J110" s="1" t="s">
        <v>9</v>
      </c>
      <c r="K110" s="1">
        <v>9</v>
      </c>
      <c r="L110" s="1">
        <v>583.5</v>
      </c>
      <c r="M110" s="16"/>
      <c r="N110" s="39">
        <f>Data[[#This Row],[Gross Wages]]/Data[[#This Row],[No. of Hours Worked]]</f>
        <v>0</v>
      </c>
      <c r="P110" s="33"/>
    </row>
    <row r="111" spans="1:16" x14ac:dyDescent="0.3">
      <c r="A111" s="15" t="s">
        <v>44</v>
      </c>
      <c r="B111" s="1">
        <v>2024</v>
      </c>
      <c r="C111" s="10">
        <v>45323</v>
      </c>
      <c r="D111" s="2" t="s">
        <v>86</v>
      </c>
      <c r="E111" s="1"/>
      <c r="F111" s="1"/>
      <c r="G111" s="1"/>
      <c r="H111" s="2"/>
      <c r="I111" s="1" t="s">
        <v>2</v>
      </c>
      <c r="J111" s="1" t="s">
        <v>9</v>
      </c>
      <c r="K111" s="1">
        <v>1</v>
      </c>
      <c r="L111" s="1">
        <v>40</v>
      </c>
      <c r="M111" s="16"/>
      <c r="N111" s="39">
        <f>Data[[#This Row],[Gross Wages]]/Data[[#This Row],[No. of Hours Worked]]</f>
        <v>0</v>
      </c>
      <c r="P111" s="33"/>
    </row>
    <row r="112" spans="1:16" x14ac:dyDescent="0.3">
      <c r="A112" s="15" t="s">
        <v>45</v>
      </c>
      <c r="B112" s="1">
        <v>2024</v>
      </c>
      <c r="C112" s="10">
        <v>45323</v>
      </c>
      <c r="D112" s="2" t="s">
        <v>86</v>
      </c>
      <c r="E112" s="1"/>
      <c r="F112" s="1"/>
      <c r="G112" s="1"/>
      <c r="H112" s="2"/>
      <c r="I112" s="1" t="s">
        <v>0</v>
      </c>
      <c r="J112" s="1" t="s">
        <v>9</v>
      </c>
      <c r="K112" s="1">
        <v>6</v>
      </c>
      <c r="L112" s="1">
        <v>633</v>
      </c>
      <c r="M112" s="16"/>
      <c r="N112" s="39">
        <f>Data[[#This Row],[Gross Wages]]/Data[[#This Row],[No. of Hours Worked]]</f>
        <v>0</v>
      </c>
      <c r="P112" s="33"/>
    </row>
    <row r="113" spans="1:16" x14ac:dyDescent="0.3">
      <c r="A113" s="15" t="s">
        <v>124</v>
      </c>
      <c r="B113" s="1">
        <v>2024</v>
      </c>
      <c r="C113" s="10">
        <v>45323</v>
      </c>
      <c r="D113" s="34" t="s">
        <v>86</v>
      </c>
      <c r="E113" s="1" t="s">
        <v>66</v>
      </c>
      <c r="F113" s="1" t="s">
        <v>125</v>
      </c>
      <c r="G113" s="1" t="s">
        <v>68</v>
      </c>
      <c r="H113" s="2" t="s">
        <v>126</v>
      </c>
      <c r="I113" s="1" t="s">
        <v>0</v>
      </c>
      <c r="J113" s="1" t="s">
        <v>9</v>
      </c>
      <c r="K113" s="1">
        <v>4</v>
      </c>
      <c r="L113" s="1">
        <v>74</v>
      </c>
      <c r="M113" s="28">
        <v>3773.66</v>
      </c>
      <c r="N113" s="39">
        <f>Data[[#This Row],[Gross Wages]]/Data[[#This Row],[No. of Hours Worked]]</f>
        <v>50.995405405405407</v>
      </c>
      <c r="P113" s="33"/>
    </row>
    <row r="114" spans="1:16" x14ac:dyDescent="0.3">
      <c r="A114" s="15" t="s">
        <v>46</v>
      </c>
      <c r="B114" s="1">
        <v>2024</v>
      </c>
      <c r="C114" s="10">
        <v>45323</v>
      </c>
      <c r="D114" s="2" t="s">
        <v>86</v>
      </c>
      <c r="E114" s="1"/>
      <c r="F114" s="1"/>
      <c r="G114" s="1"/>
      <c r="H114" s="2"/>
      <c r="I114" s="1" t="s">
        <v>0</v>
      </c>
      <c r="J114" s="1" t="s">
        <v>9</v>
      </c>
      <c r="K114" s="1">
        <v>4</v>
      </c>
      <c r="L114" s="1">
        <v>184</v>
      </c>
      <c r="M114" s="16"/>
      <c r="N114" s="39">
        <f>Data[[#This Row],[Gross Wages]]/Data[[#This Row],[No. of Hours Worked]]</f>
        <v>0</v>
      </c>
      <c r="P114" s="33"/>
    </row>
    <row r="115" spans="1:16" x14ac:dyDescent="0.3">
      <c r="A115" s="15" t="s">
        <v>140</v>
      </c>
      <c r="B115" s="1">
        <v>2024</v>
      </c>
      <c r="C115" s="10">
        <v>45323</v>
      </c>
      <c r="D115" s="34" t="s">
        <v>86</v>
      </c>
      <c r="E115" s="1" t="s">
        <v>66</v>
      </c>
      <c r="F115" s="1" t="s">
        <v>70</v>
      </c>
      <c r="G115" s="1" t="s">
        <v>68</v>
      </c>
      <c r="H115" s="2" t="s">
        <v>71</v>
      </c>
      <c r="I115" s="1" t="s">
        <v>0</v>
      </c>
      <c r="J115" s="1" t="s">
        <v>9</v>
      </c>
      <c r="K115" s="1">
        <v>2</v>
      </c>
      <c r="L115" s="1">
        <v>56</v>
      </c>
      <c r="M115" s="28">
        <v>1793.4</v>
      </c>
      <c r="N115" s="39">
        <f>Data[[#This Row],[Gross Wages]]/Data[[#This Row],[No. of Hours Worked]]</f>
        <v>32.024999999999999</v>
      </c>
      <c r="P115" s="33"/>
    </row>
    <row r="116" spans="1:16" x14ac:dyDescent="0.3">
      <c r="A116" s="15" t="s">
        <v>128</v>
      </c>
      <c r="B116" s="1">
        <v>2024</v>
      </c>
      <c r="C116" s="10">
        <v>45323</v>
      </c>
      <c r="D116" s="34" t="s">
        <v>86</v>
      </c>
      <c r="E116" s="1" t="s">
        <v>66</v>
      </c>
      <c r="F116" s="1" t="s">
        <v>97</v>
      </c>
      <c r="G116" s="1" t="s">
        <v>68</v>
      </c>
      <c r="H116" s="2" t="s">
        <v>98</v>
      </c>
      <c r="I116" s="1" t="s">
        <v>0</v>
      </c>
      <c r="J116" s="1" t="s">
        <v>9</v>
      </c>
      <c r="K116" s="1">
        <v>3</v>
      </c>
      <c r="L116" s="1">
        <v>44.5</v>
      </c>
      <c r="M116" s="28">
        <v>1772.01</v>
      </c>
      <c r="N116" s="39">
        <f>Data[[#This Row],[Gross Wages]]/Data[[#This Row],[No. of Hours Worked]]</f>
        <v>39.820449438202246</v>
      </c>
      <c r="P116" s="33"/>
    </row>
    <row r="117" spans="1:16" x14ac:dyDescent="0.3">
      <c r="A117" s="15" t="s">
        <v>48</v>
      </c>
      <c r="B117" s="1">
        <v>2024</v>
      </c>
      <c r="C117" s="10">
        <v>45323</v>
      </c>
      <c r="D117" s="2" t="s">
        <v>86</v>
      </c>
      <c r="E117" s="1"/>
      <c r="F117" s="1"/>
      <c r="G117" s="1"/>
      <c r="H117" s="2"/>
      <c r="I117" s="1" t="s">
        <v>0</v>
      </c>
      <c r="J117" s="1" t="s">
        <v>9</v>
      </c>
      <c r="K117" s="1">
        <v>3</v>
      </c>
      <c r="L117" s="1">
        <v>16</v>
      </c>
      <c r="M117" s="16"/>
      <c r="N117" s="39">
        <f>Data[[#This Row],[Gross Wages]]/Data[[#This Row],[No. of Hours Worked]]</f>
        <v>0</v>
      </c>
      <c r="P117" s="33"/>
    </row>
    <row r="118" spans="1:16" x14ac:dyDescent="0.3">
      <c r="A118" s="15" t="s">
        <v>48</v>
      </c>
      <c r="B118" s="1">
        <v>2024</v>
      </c>
      <c r="C118" s="10">
        <v>45323</v>
      </c>
      <c r="D118" s="2" t="s">
        <v>86</v>
      </c>
      <c r="E118" s="1"/>
      <c r="F118" s="1"/>
      <c r="G118" s="1"/>
      <c r="H118" s="2"/>
      <c r="I118" s="1" t="s">
        <v>1</v>
      </c>
      <c r="J118" s="1" t="s">
        <v>9</v>
      </c>
      <c r="K118" s="1">
        <v>1</v>
      </c>
      <c r="L118" s="1">
        <v>6</v>
      </c>
      <c r="M118" s="16"/>
      <c r="N118" s="39">
        <f>Data[[#This Row],[Gross Wages]]/Data[[#This Row],[No. of Hours Worked]]</f>
        <v>0</v>
      </c>
      <c r="P118" s="33"/>
    </row>
    <row r="119" spans="1:16" x14ac:dyDescent="0.3">
      <c r="A119" s="15" t="s">
        <v>49</v>
      </c>
      <c r="B119" s="1">
        <v>2024</v>
      </c>
      <c r="C119" s="10">
        <v>45323</v>
      </c>
      <c r="D119" s="2" t="s">
        <v>86</v>
      </c>
      <c r="E119" s="1"/>
      <c r="F119" s="1"/>
      <c r="G119" s="1"/>
      <c r="H119" s="2"/>
      <c r="I119" s="1" t="s">
        <v>0</v>
      </c>
      <c r="J119" s="1" t="s">
        <v>9</v>
      </c>
      <c r="K119" s="1">
        <v>4</v>
      </c>
      <c r="L119" s="1">
        <v>304</v>
      </c>
      <c r="M119" s="16"/>
      <c r="N119" s="39">
        <f>Data[[#This Row],[Gross Wages]]/Data[[#This Row],[No. of Hours Worked]]</f>
        <v>0</v>
      </c>
      <c r="P119" s="33"/>
    </row>
    <row r="120" spans="1:16" x14ac:dyDescent="0.3">
      <c r="A120" s="15" t="s">
        <v>129</v>
      </c>
      <c r="B120" s="1">
        <v>2024</v>
      </c>
      <c r="C120" s="10">
        <v>45323</v>
      </c>
      <c r="D120" s="34" t="s">
        <v>86</v>
      </c>
      <c r="E120" s="1" t="s">
        <v>80</v>
      </c>
      <c r="F120" s="1" t="s">
        <v>130</v>
      </c>
      <c r="G120" s="1" t="s">
        <v>68</v>
      </c>
      <c r="H120" s="2" t="s">
        <v>131</v>
      </c>
      <c r="I120" s="1" t="s">
        <v>0</v>
      </c>
      <c r="J120" s="1" t="s">
        <v>9</v>
      </c>
      <c r="K120" s="1">
        <v>6</v>
      </c>
      <c r="L120" s="1">
        <v>199.5</v>
      </c>
      <c r="M120" s="28">
        <v>10569.66</v>
      </c>
      <c r="N120" s="39">
        <f>Data[[#This Row],[Gross Wages]]/Data[[#This Row],[No. of Hours Worked]]</f>
        <v>52.980751879699248</v>
      </c>
      <c r="P120" s="33"/>
    </row>
    <row r="121" spans="1:16" x14ac:dyDescent="0.3">
      <c r="A121" s="15" t="s">
        <v>144</v>
      </c>
      <c r="B121" s="1">
        <v>2024</v>
      </c>
      <c r="C121" s="10">
        <v>45323</v>
      </c>
      <c r="D121" s="34" t="s">
        <v>86</v>
      </c>
      <c r="E121" s="1" t="s">
        <v>66</v>
      </c>
      <c r="F121" s="1" t="s">
        <v>95</v>
      </c>
      <c r="G121" s="1" t="s">
        <v>68</v>
      </c>
      <c r="H121" s="2" t="s">
        <v>96</v>
      </c>
      <c r="I121" s="1" t="s">
        <v>0</v>
      </c>
      <c r="J121" s="1" t="s">
        <v>9</v>
      </c>
      <c r="K121" s="1">
        <v>4</v>
      </c>
      <c r="L121" s="1">
        <v>444.5</v>
      </c>
      <c r="M121" s="28">
        <v>26275.23</v>
      </c>
      <c r="N121" s="39">
        <f>Data[[#This Row],[Gross Wages]]/Data[[#This Row],[No. of Hours Worked]]</f>
        <v>59.111878515185602</v>
      </c>
      <c r="P121" s="33"/>
    </row>
    <row r="122" spans="1:16" x14ac:dyDescent="0.3">
      <c r="A122" s="15" t="s">
        <v>144</v>
      </c>
      <c r="B122" s="1">
        <v>2024</v>
      </c>
      <c r="C122" s="10">
        <v>45323</v>
      </c>
      <c r="D122" s="34" t="s">
        <v>86</v>
      </c>
      <c r="E122" s="1" t="s">
        <v>66</v>
      </c>
      <c r="F122" s="1" t="s">
        <v>145</v>
      </c>
      <c r="G122" s="1" t="s">
        <v>68</v>
      </c>
      <c r="H122" s="2" t="s">
        <v>146</v>
      </c>
      <c r="I122" s="1" t="s">
        <v>0</v>
      </c>
      <c r="J122" s="1" t="s">
        <v>9</v>
      </c>
      <c r="K122" s="1">
        <v>4</v>
      </c>
      <c r="L122" s="1">
        <v>456</v>
      </c>
      <c r="M122" s="28">
        <v>22588.240000000002</v>
      </c>
      <c r="N122" s="39">
        <f>Data[[#This Row],[Gross Wages]]/Data[[#This Row],[No. of Hours Worked]]</f>
        <v>49.535614035087725</v>
      </c>
      <c r="P122" s="33"/>
    </row>
    <row r="123" spans="1:16" x14ac:dyDescent="0.3">
      <c r="A123" s="15" t="s">
        <v>144</v>
      </c>
      <c r="B123" s="1">
        <v>2024</v>
      </c>
      <c r="C123" s="10">
        <v>45323</v>
      </c>
      <c r="D123" s="34" t="s">
        <v>86</v>
      </c>
      <c r="E123" s="1" t="s">
        <v>66</v>
      </c>
      <c r="F123" s="1" t="s">
        <v>95</v>
      </c>
      <c r="G123" s="1" t="s">
        <v>68</v>
      </c>
      <c r="H123" s="2" t="s">
        <v>96</v>
      </c>
      <c r="I123" s="1" t="s">
        <v>3</v>
      </c>
      <c r="J123" s="1" t="s">
        <v>9</v>
      </c>
      <c r="K123" s="1">
        <v>1</v>
      </c>
      <c r="L123" s="1">
        <v>88</v>
      </c>
      <c r="M123" s="28">
        <v>8800</v>
      </c>
      <c r="N123" s="39">
        <f>Data[[#This Row],[Gross Wages]]/Data[[#This Row],[No. of Hours Worked]]</f>
        <v>100</v>
      </c>
      <c r="P123" s="33"/>
    </row>
    <row r="124" spans="1:16" x14ac:dyDescent="0.3">
      <c r="A124" s="15" t="s">
        <v>44</v>
      </c>
      <c r="B124" s="1">
        <v>2024</v>
      </c>
      <c r="C124" s="10">
        <v>45352</v>
      </c>
      <c r="D124" s="2" t="s">
        <v>86</v>
      </c>
      <c r="E124" s="1"/>
      <c r="F124" s="1"/>
      <c r="G124" s="1"/>
      <c r="H124" s="2"/>
      <c r="I124" s="1" t="s">
        <v>0</v>
      </c>
      <c r="J124" s="1" t="s">
        <v>9</v>
      </c>
      <c r="K124" s="1">
        <v>9</v>
      </c>
      <c r="L124" s="1">
        <v>1245.5</v>
      </c>
      <c r="M124" s="16"/>
      <c r="N124" s="39">
        <f>Data[[#This Row],[Gross Wages]]/Data[[#This Row],[No. of Hours Worked]]</f>
        <v>0</v>
      </c>
      <c r="P124" s="33"/>
    </row>
    <row r="125" spans="1:16" x14ac:dyDescent="0.3">
      <c r="A125" s="15" t="s">
        <v>44</v>
      </c>
      <c r="B125" s="1">
        <v>2024</v>
      </c>
      <c r="C125" s="10">
        <v>45352</v>
      </c>
      <c r="D125" s="2" t="s">
        <v>86</v>
      </c>
      <c r="E125" s="1"/>
      <c r="F125" s="1"/>
      <c r="G125" s="1"/>
      <c r="H125" s="2"/>
      <c r="I125" s="1" t="s">
        <v>2</v>
      </c>
      <c r="J125" s="1" t="s">
        <v>9</v>
      </c>
      <c r="K125" s="1">
        <v>1</v>
      </c>
      <c r="L125" s="1">
        <v>192</v>
      </c>
      <c r="M125" s="16"/>
      <c r="N125" s="39">
        <f>Data[[#This Row],[Gross Wages]]/Data[[#This Row],[No. of Hours Worked]]</f>
        <v>0</v>
      </c>
      <c r="P125" s="33"/>
    </row>
    <row r="126" spans="1:16" x14ac:dyDescent="0.3">
      <c r="A126" s="15" t="s">
        <v>45</v>
      </c>
      <c r="B126" s="1">
        <v>2024</v>
      </c>
      <c r="C126" s="10">
        <v>45352</v>
      </c>
      <c r="D126" s="2" t="s">
        <v>86</v>
      </c>
      <c r="E126" s="1"/>
      <c r="F126" s="1"/>
      <c r="G126" s="1"/>
      <c r="H126" s="2"/>
      <c r="I126" s="1" t="s">
        <v>0</v>
      </c>
      <c r="J126" s="1" t="s">
        <v>9</v>
      </c>
      <c r="K126" s="1">
        <v>8</v>
      </c>
      <c r="L126" s="1">
        <v>1120</v>
      </c>
      <c r="M126" s="16"/>
      <c r="N126" s="39">
        <f>Data[[#This Row],[Gross Wages]]/Data[[#This Row],[No. of Hours Worked]]</f>
        <v>0</v>
      </c>
      <c r="P126" s="33"/>
    </row>
    <row r="127" spans="1:16" x14ac:dyDescent="0.3">
      <c r="A127" s="15" t="s">
        <v>46</v>
      </c>
      <c r="B127" s="1">
        <v>2024</v>
      </c>
      <c r="C127" s="10">
        <v>45352</v>
      </c>
      <c r="D127" s="2" t="s">
        <v>86</v>
      </c>
      <c r="E127" s="1"/>
      <c r="F127" s="1"/>
      <c r="G127" s="1"/>
      <c r="H127" s="2"/>
      <c r="I127" s="1" t="s">
        <v>0</v>
      </c>
      <c r="J127" s="1" t="s">
        <v>9</v>
      </c>
      <c r="K127" s="1">
        <v>3</v>
      </c>
      <c r="L127" s="1">
        <v>132</v>
      </c>
      <c r="M127" s="16"/>
      <c r="N127" s="39">
        <f>Data[[#This Row],[Gross Wages]]/Data[[#This Row],[No. of Hours Worked]]</f>
        <v>0</v>
      </c>
      <c r="P127" s="33"/>
    </row>
    <row r="128" spans="1:16" x14ac:dyDescent="0.3">
      <c r="A128" s="15" t="s">
        <v>140</v>
      </c>
      <c r="B128" s="1">
        <v>2024</v>
      </c>
      <c r="C128" s="10">
        <v>45352</v>
      </c>
      <c r="D128" s="34" t="s">
        <v>86</v>
      </c>
      <c r="E128" s="1" t="s">
        <v>66</v>
      </c>
      <c r="F128" s="1" t="s">
        <v>70</v>
      </c>
      <c r="G128" s="1" t="s">
        <v>68</v>
      </c>
      <c r="H128" s="2" t="s">
        <v>71</v>
      </c>
      <c r="I128" s="1" t="s">
        <v>0</v>
      </c>
      <c r="J128" s="1" t="s">
        <v>9</v>
      </c>
      <c r="K128" s="1">
        <v>2</v>
      </c>
      <c r="L128" s="1">
        <v>8</v>
      </c>
      <c r="M128" s="28">
        <v>256.2</v>
      </c>
      <c r="N128" s="39">
        <f>Data[[#This Row],[Gross Wages]]/Data[[#This Row],[No. of Hours Worked]]</f>
        <v>32.024999999999999</v>
      </c>
      <c r="P128" s="33"/>
    </row>
    <row r="129" spans="1:16" x14ac:dyDescent="0.3">
      <c r="A129" s="15" t="s">
        <v>128</v>
      </c>
      <c r="B129" s="1">
        <v>2024</v>
      </c>
      <c r="C129" s="10">
        <v>45352</v>
      </c>
      <c r="D129" s="34" t="s">
        <v>86</v>
      </c>
      <c r="E129" s="1" t="s">
        <v>66</v>
      </c>
      <c r="F129" s="1" t="s">
        <v>97</v>
      </c>
      <c r="G129" s="1" t="s">
        <v>68</v>
      </c>
      <c r="H129" s="2" t="s">
        <v>98</v>
      </c>
      <c r="I129" s="1" t="s">
        <v>0</v>
      </c>
      <c r="J129" s="1" t="s">
        <v>9</v>
      </c>
      <c r="K129" s="1">
        <v>3</v>
      </c>
      <c r="L129" s="1">
        <v>200</v>
      </c>
      <c r="M129" s="28">
        <v>7901.56</v>
      </c>
      <c r="N129" s="39">
        <f>Data[[#This Row],[Gross Wages]]/Data[[#This Row],[No. of Hours Worked]]</f>
        <v>39.507800000000003</v>
      </c>
      <c r="P129" s="33"/>
    </row>
    <row r="130" spans="1:16" x14ac:dyDescent="0.3">
      <c r="A130" s="15" t="s">
        <v>48</v>
      </c>
      <c r="B130" s="1">
        <v>2024</v>
      </c>
      <c r="C130" s="10">
        <v>45352</v>
      </c>
      <c r="D130" s="2" t="s">
        <v>86</v>
      </c>
      <c r="E130" s="1"/>
      <c r="F130" s="1"/>
      <c r="G130" s="1"/>
      <c r="H130" s="2"/>
      <c r="I130" s="1" t="s">
        <v>0</v>
      </c>
      <c r="J130" s="1" t="s">
        <v>9</v>
      </c>
      <c r="K130" s="1">
        <v>2</v>
      </c>
      <c r="L130" s="1">
        <v>4</v>
      </c>
      <c r="M130" s="16"/>
      <c r="N130" s="39">
        <f>Data[[#This Row],[Gross Wages]]/Data[[#This Row],[No. of Hours Worked]]</f>
        <v>0</v>
      </c>
      <c r="P130" s="33"/>
    </row>
    <row r="131" spans="1:16" x14ac:dyDescent="0.3">
      <c r="A131" s="15" t="s">
        <v>49</v>
      </c>
      <c r="B131" s="1">
        <v>2024</v>
      </c>
      <c r="C131" s="10">
        <v>45352</v>
      </c>
      <c r="D131" s="2" t="s">
        <v>86</v>
      </c>
      <c r="E131" s="1" t="s">
        <v>66</v>
      </c>
      <c r="F131" s="1" t="s">
        <v>67</v>
      </c>
      <c r="G131" s="1" t="s">
        <v>68</v>
      </c>
      <c r="H131" s="2" t="s">
        <v>69</v>
      </c>
      <c r="I131" s="1" t="s">
        <v>0</v>
      </c>
      <c r="J131" s="1" t="s">
        <v>9</v>
      </c>
      <c r="K131" s="1">
        <v>1</v>
      </c>
      <c r="L131" s="1">
        <v>24</v>
      </c>
      <c r="M131" s="28">
        <v>1653.84</v>
      </c>
      <c r="N131" s="39">
        <f>Data[[#This Row],[Gross Wages]]/Data[[#This Row],[No. of Hours Worked]]</f>
        <v>68.91</v>
      </c>
      <c r="P131" s="33"/>
    </row>
    <row r="132" spans="1:16" x14ac:dyDescent="0.3">
      <c r="A132" s="15" t="s">
        <v>129</v>
      </c>
      <c r="B132" s="1">
        <v>2024</v>
      </c>
      <c r="C132" s="10">
        <v>45352</v>
      </c>
      <c r="D132" s="34" t="s">
        <v>86</v>
      </c>
      <c r="E132" s="1" t="s">
        <v>80</v>
      </c>
      <c r="F132" s="1" t="s">
        <v>130</v>
      </c>
      <c r="G132" s="1" t="s">
        <v>68</v>
      </c>
      <c r="H132" s="2" t="s">
        <v>131</v>
      </c>
      <c r="I132" s="1" t="s">
        <v>0</v>
      </c>
      <c r="J132" s="1" t="s">
        <v>9</v>
      </c>
      <c r="K132" s="1">
        <v>8</v>
      </c>
      <c r="L132" s="1">
        <v>216.5</v>
      </c>
      <c r="M132" s="16">
        <v>11592.24</v>
      </c>
      <c r="N132" s="39">
        <f>Data[[#This Row],[Gross Wages]]/Data[[#This Row],[No. of Hours Worked]]</f>
        <v>53.543833718244805</v>
      </c>
      <c r="P132" s="33"/>
    </row>
    <row r="133" spans="1:16" x14ac:dyDescent="0.3">
      <c r="A133" s="15" t="s">
        <v>144</v>
      </c>
      <c r="B133" s="1">
        <v>2024</v>
      </c>
      <c r="C133" s="10">
        <v>45352</v>
      </c>
      <c r="D133" s="34" t="s">
        <v>86</v>
      </c>
      <c r="E133" s="1" t="s">
        <v>66</v>
      </c>
      <c r="F133" s="1" t="s">
        <v>95</v>
      </c>
      <c r="G133" s="1" t="s">
        <v>68</v>
      </c>
      <c r="H133" s="2" t="s">
        <v>96</v>
      </c>
      <c r="I133" s="1" t="s">
        <v>0</v>
      </c>
      <c r="J133" s="1" t="s">
        <v>9</v>
      </c>
      <c r="K133" s="1">
        <v>4</v>
      </c>
      <c r="L133" s="1">
        <v>380</v>
      </c>
      <c r="M133" s="28">
        <v>21652.6</v>
      </c>
      <c r="N133" s="39">
        <f>Data[[#This Row],[Gross Wages]]/Data[[#This Row],[No. of Hours Worked]]</f>
        <v>56.980526315789469</v>
      </c>
      <c r="P133" s="33"/>
    </row>
    <row r="134" spans="1:16" x14ac:dyDescent="0.3">
      <c r="A134" s="15" t="s">
        <v>144</v>
      </c>
      <c r="B134" s="1">
        <v>2024</v>
      </c>
      <c r="C134" s="10">
        <v>45352</v>
      </c>
      <c r="D134" s="34" t="s">
        <v>86</v>
      </c>
      <c r="E134" s="1" t="s">
        <v>66</v>
      </c>
      <c r="F134" s="1" t="s">
        <v>145</v>
      </c>
      <c r="G134" s="1" t="s">
        <v>68</v>
      </c>
      <c r="H134" s="2" t="s">
        <v>146</v>
      </c>
      <c r="I134" s="1" t="s">
        <v>0</v>
      </c>
      <c r="J134" s="1" t="s">
        <v>9</v>
      </c>
      <c r="K134" s="1">
        <v>6</v>
      </c>
      <c r="L134" s="1">
        <v>655</v>
      </c>
      <c r="M134" s="28">
        <v>31296.6</v>
      </c>
      <c r="N134" s="39">
        <f>Data[[#This Row],[Gross Wages]]/Data[[#This Row],[No. of Hours Worked]]</f>
        <v>47.781068702290071</v>
      </c>
      <c r="P134" s="33"/>
    </row>
    <row r="135" spans="1:16" x14ac:dyDescent="0.3">
      <c r="A135" s="15" t="s">
        <v>144</v>
      </c>
      <c r="B135" s="1">
        <v>2024</v>
      </c>
      <c r="C135" s="10">
        <v>45352</v>
      </c>
      <c r="D135" s="34" t="s">
        <v>86</v>
      </c>
      <c r="E135" s="1" t="s">
        <v>66</v>
      </c>
      <c r="F135" s="1" t="s">
        <v>95</v>
      </c>
      <c r="G135" s="1" t="s">
        <v>68</v>
      </c>
      <c r="H135" s="2" t="s">
        <v>96</v>
      </c>
      <c r="I135" s="1" t="s">
        <v>3</v>
      </c>
      <c r="J135" s="1" t="s">
        <v>9</v>
      </c>
      <c r="K135" s="1">
        <v>1</v>
      </c>
      <c r="L135" s="1">
        <v>56</v>
      </c>
      <c r="M135" s="28">
        <v>5600</v>
      </c>
      <c r="N135" s="39">
        <f>Data[[#This Row],[Gross Wages]]/Data[[#This Row],[No. of Hours Worked]]</f>
        <v>100</v>
      </c>
      <c r="P135" s="33"/>
    </row>
    <row r="136" spans="1:16" x14ac:dyDescent="0.3">
      <c r="A136" s="15" t="s">
        <v>144</v>
      </c>
      <c r="B136" s="1">
        <v>2024</v>
      </c>
      <c r="C136" s="10">
        <v>45352</v>
      </c>
      <c r="D136" s="34" t="s">
        <v>86</v>
      </c>
      <c r="E136" s="1" t="s">
        <v>66</v>
      </c>
      <c r="F136" s="1" t="s">
        <v>145</v>
      </c>
      <c r="G136" s="1" t="s">
        <v>68</v>
      </c>
      <c r="H136" s="2" t="s">
        <v>146</v>
      </c>
      <c r="I136" s="1" t="s">
        <v>1</v>
      </c>
      <c r="J136" s="1" t="s">
        <v>9</v>
      </c>
      <c r="K136" s="1">
        <v>1</v>
      </c>
      <c r="L136" s="1">
        <v>80</v>
      </c>
      <c r="M136" s="28">
        <v>4016</v>
      </c>
      <c r="N136" s="39">
        <f>Data[[#This Row],[Gross Wages]]/Data[[#This Row],[No. of Hours Worked]]</f>
        <v>50.2</v>
      </c>
      <c r="P136" s="33"/>
    </row>
    <row r="137" spans="1:16" x14ac:dyDescent="0.3">
      <c r="A137" s="15" t="s">
        <v>144</v>
      </c>
      <c r="B137" s="1">
        <v>2024</v>
      </c>
      <c r="C137" s="10">
        <v>45352</v>
      </c>
      <c r="D137" s="34" t="s">
        <v>86</v>
      </c>
      <c r="E137" s="1" t="s">
        <v>66</v>
      </c>
      <c r="F137" s="1" t="s">
        <v>145</v>
      </c>
      <c r="G137" s="1" t="s">
        <v>68</v>
      </c>
      <c r="H137" s="2" t="s">
        <v>146</v>
      </c>
      <c r="I137" s="1" t="s">
        <v>111</v>
      </c>
      <c r="J137" s="1" t="s">
        <v>9</v>
      </c>
      <c r="K137" s="1">
        <v>2</v>
      </c>
      <c r="L137" s="1">
        <v>144</v>
      </c>
      <c r="M137" s="28">
        <v>7228.8</v>
      </c>
      <c r="N137" s="39">
        <f>Data[[#This Row],[Gross Wages]]/Data[[#This Row],[No. of Hours Worked]]</f>
        <v>50.2</v>
      </c>
      <c r="P137" s="33"/>
    </row>
    <row r="138" spans="1:16" x14ac:dyDescent="0.3">
      <c r="A138" s="15" t="s">
        <v>44</v>
      </c>
      <c r="B138" s="1">
        <v>2024</v>
      </c>
      <c r="C138" s="10">
        <v>45383</v>
      </c>
      <c r="D138" s="2" t="s">
        <v>87</v>
      </c>
      <c r="E138" s="1"/>
      <c r="F138" s="1"/>
      <c r="G138" s="1"/>
      <c r="H138" s="2"/>
      <c r="I138" s="1" t="s">
        <v>0</v>
      </c>
      <c r="J138" s="1" t="s">
        <v>9</v>
      </c>
      <c r="K138" s="1">
        <v>10</v>
      </c>
      <c r="L138" s="1">
        <v>1089</v>
      </c>
      <c r="M138" s="16"/>
      <c r="N138" s="39">
        <f>Data[[#This Row],[Gross Wages]]/Data[[#This Row],[No. of Hours Worked]]</f>
        <v>0</v>
      </c>
      <c r="P138" s="33"/>
    </row>
    <row r="139" spans="1:16" x14ac:dyDescent="0.3">
      <c r="A139" s="15" t="s">
        <v>44</v>
      </c>
      <c r="B139" s="1">
        <v>2024</v>
      </c>
      <c r="C139" s="10">
        <v>45383</v>
      </c>
      <c r="D139" s="2" t="s">
        <v>87</v>
      </c>
      <c r="E139" s="1"/>
      <c r="F139" s="1"/>
      <c r="G139" s="1"/>
      <c r="H139" s="2"/>
      <c r="I139" s="1" t="s">
        <v>2</v>
      </c>
      <c r="J139" s="1" t="s">
        <v>9</v>
      </c>
      <c r="K139" s="1">
        <v>1</v>
      </c>
      <c r="L139" s="1">
        <v>148</v>
      </c>
      <c r="M139" s="16"/>
      <c r="N139" s="39">
        <f>Data[[#This Row],[Gross Wages]]/Data[[#This Row],[No. of Hours Worked]]</f>
        <v>0</v>
      </c>
      <c r="P139" s="33"/>
    </row>
    <row r="140" spans="1:16" x14ac:dyDescent="0.3">
      <c r="A140" s="15" t="s">
        <v>124</v>
      </c>
      <c r="B140" s="1">
        <v>2024</v>
      </c>
      <c r="C140" s="10">
        <v>45383</v>
      </c>
      <c r="D140" s="34" t="s">
        <v>87</v>
      </c>
      <c r="E140" s="1" t="s">
        <v>66</v>
      </c>
      <c r="F140" s="1" t="s">
        <v>72</v>
      </c>
      <c r="G140" s="1" t="s">
        <v>73</v>
      </c>
      <c r="H140" s="2" t="s">
        <v>74</v>
      </c>
      <c r="I140" s="1" t="s">
        <v>0</v>
      </c>
      <c r="J140" s="1" t="s">
        <v>9</v>
      </c>
      <c r="K140" s="1">
        <v>7</v>
      </c>
      <c r="L140" s="1">
        <v>42</v>
      </c>
      <c r="M140" s="16">
        <v>2166.4</v>
      </c>
      <c r="N140" s="39">
        <f>Data[[#This Row],[Gross Wages]]/Data[[#This Row],[No. of Hours Worked]]</f>
        <v>51.580952380952382</v>
      </c>
      <c r="P140" s="33"/>
    </row>
    <row r="141" spans="1:16" x14ac:dyDescent="0.3">
      <c r="A141" s="15" t="s">
        <v>124</v>
      </c>
      <c r="B141" s="1">
        <v>2024</v>
      </c>
      <c r="C141" s="10">
        <v>45383</v>
      </c>
      <c r="D141" s="34" t="s">
        <v>87</v>
      </c>
      <c r="E141" s="1" t="s">
        <v>66</v>
      </c>
      <c r="F141" s="1" t="s">
        <v>97</v>
      </c>
      <c r="G141" s="1" t="s">
        <v>68</v>
      </c>
      <c r="H141" s="2" t="s">
        <v>98</v>
      </c>
      <c r="I141" s="1" t="s">
        <v>0</v>
      </c>
      <c r="J141" s="1" t="s">
        <v>9</v>
      </c>
      <c r="K141" s="1">
        <v>6</v>
      </c>
      <c r="L141" s="1">
        <v>114</v>
      </c>
      <c r="M141" s="16">
        <v>6882.18</v>
      </c>
      <c r="N141" s="39">
        <f>Data[[#This Row],[Gross Wages]]/Data[[#This Row],[No. of Hours Worked]]</f>
        <v>60.370000000000005</v>
      </c>
      <c r="P141" s="33"/>
    </row>
    <row r="142" spans="1:16" x14ac:dyDescent="0.3">
      <c r="A142" s="15" t="s">
        <v>124</v>
      </c>
      <c r="B142" s="1">
        <v>2024</v>
      </c>
      <c r="C142" s="10">
        <v>45383</v>
      </c>
      <c r="D142" s="34" t="s">
        <v>87</v>
      </c>
      <c r="E142" s="1" t="s">
        <v>66</v>
      </c>
      <c r="F142" s="1" t="s">
        <v>125</v>
      </c>
      <c r="G142" s="1" t="s">
        <v>68</v>
      </c>
      <c r="H142" s="2" t="s">
        <v>126</v>
      </c>
      <c r="I142" s="1" t="s">
        <v>0</v>
      </c>
      <c r="J142" s="1" t="s">
        <v>9</v>
      </c>
      <c r="K142" s="1">
        <v>5</v>
      </c>
      <c r="L142" s="1">
        <v>147</v>
      </c>
      <c r="M142" s="16">
        <v>7530.98</v>
      </c>
      <c r="N142" s="39">
        <f>Data[[#This Row],[Gross Wages]]/Data[[#This Row],[No. of Hours Worked]]</f>
        <v>51.231156462585034</v>
      </c>
      <c r="P142" s="33"/>
    </row>
    <row r="143" spans="1:16" x14ac:dyDescent="0.3">
      <c r="A143" s="15" t="s">
        <v>46</v>
      </c>
      <c r="B143" s="1">
        <v>2024</v>
      </c>
      <c r="C143" s="10">
        <v>45383</v>
      </c>
      <c r="D143" s="2" t="s">
        <v>87</v>
      </c>
      <c r="E143" s="1"/>
      <c r="F143" s="1"/>
      <c r="G143" s="1"/>
      <c r="H143" s="2"/>
      <c r="I143" s="1" t="s">
        <v>0</v>
      </c>
      <c r="J143" s="1" t="s">
        <v>9</v>
      </c>
      <c r="K143" s="1">
        <v>9</v>
      </c>
      <c r="L143" s="1">
        <v>72</v>
      </c>
      <c r="M143" s="16"/>
      <c r="N143" s="39">
        <f>Data[[#This Row],[Gross Wages]]/Data[[#This Row],[No. of Hours Worked]]</f>
        <v>0</v>
      </c>
      <c r="P143" s="33"/>
    </row>
    <row r="144" spans="1:16" x14ac:dyDescent="0.3">
      <c r="A144" s="15" t="s">
        <v>140</v>
      </c>
      <c r="B144" s="1">
        <v>2024</v>
      </c>
      <c r="C144" s="10">
        <v>45383</v>
      </c>
      <c r="D144" s="34" t="s">
        <v>87</v>
      </c>
      <c r="E144" s="1" t="s">
        <v>66</v>
      </c>
      <c r="F144" s="1" t="s">
        <v>70</v>
      </c>
      <c r="G144" s="1" t="s">
        <v>68</v>
      </c>
      <c r="H144" s="2" t="s">
        <v>71</v>
      </c>
      <c r="I144" s="1" t="s">
        <v>0</v>
      </c>
      <c r="J144" s="1" t="s">
        <v>9</v>
      </c>
      <c r="K144" s="1">
        <v>4</v>
      </c>
      <c r="L144" s="1">
        <v>174</v>
      </c>
      <c r="M144" s="28">
        <v>5154.5</v>
      </c>
      <c r="N144" s="39">
        <f>Data[[#This Row],[Gross Wages]]/Data[[#This Row],[No. of Hours Worked]]</f>
        <v>29.623563218390803</v>
      </c>
      <c r="P144" s="33"/>
    </row>
    <row r="145" spans="1:16" x14ac:dyDescent="0.3">
      <c r="A145" s="15" t="s">
        <v>128</v>
      </c>
      <c r="B145" s="1">
        <v>2024</v>
      </c>
      <c r="C145" s="10">
        <v>45383</v>
      </c>
      <c r="D145" s="34" t="s">
        <v>87</v>
      </c>
      <c r="E145" s="1" t="s">
        <v>66</v>
      </c>
      <c r="F145" s="1" t="s">
        <v>97</v>
      </c>
      <c r="G145" s="1" t="s">
        <v>68</v>
      </c>
      <c r="H145" s="2" t="s">
        <v>98</v>
      </c>
      <c r="I145" s="1" t="s">
        <v>0</v>
      </c>
      <c r="J145" s="1" t="s">
        <v>9</v>
      </c>
      <c r="K145" s="1">
        <v>5</v>
      </c>
      <c r="L145" s="1">
        <v>418.5</v>
      </c>
      <c r="M145" s="28">
        <v>14817.65</v>
      </c>
      <c r="N145" s="39">
        <f>Data[[#This Row],[Gross Wages]]/Data[[#This Row],[No. of Hours Worked]]</f>
        <v>35.40657108721625</v>
      </c>
      <c r="P145" s="33"/>
    </row>
    <row r="146" spans="1:16" x14ac:dyDescent="0.3">
      <c r="A146" s="15" t="s">
        <v>48</v>
      </c>
      <c r="B146" s="1">
        <v>2024</v>
      </c>
      <c r="C146" s="10">
        <v>45383</v>
      </c>
      <c r="D146" s="2" t="s">
        <v>87</v>
      </c>
      <c r="E146" s="1" t="s">
        <v>66</v>
      </c>
      <c r="F146" s="1" t="s">
        <v>84</v>
      </c>
      <c r="G146" s="1" t="s">
        <v>68</v>
      </c>
      <c r="H146" s="2" t="s">
        <v>85</v>
      </c>
      <c r="I146" s="1" t="s">
        <v>0</v>
      </c>
      <c r="J146" s="1" t="s">
        <v>9</v>
      </c>
      <c r="K146" s="1">
        <v>6</v>
      </c>
      <c r="L146" s="1">
        <v>372</v>
      </c>
      <c r="M146" s="28">
        <v>14537</v>
      </c>
      <c r="N146" s="39">
        <f>Data[[#This Row],[Gross Wages]]/Data[[#This Row],[No. of Hours Worked]]</f>
        <v>39.077956989247312</v>
      </c>
      <c r="P146" s="33"/>
    </row>
    <row r="147" spans="1:16" x14ac:dyDescent="0.3">
      <c r="A147" s="15" t="s">
        <v>49</v>
      </c>
      <c r="B147" s="1">
        <v>2024</v>
      </c>
      <c r="C147" s="10">
        <v>45383</v>
      </c>
      <c r="D147" s="2" t="s">
        <v>87</v>
      </c>
      <c r="E147" s="1"/>
      <c r="F147" s="1"/>
      <c r="G147" s="1"/>
      <c r="H147" s="2"/>
      <c r="I147" s="1" t="s">
        <v>0</v>
      </c>
      <c r="J147" s="1" t="s">
        <v>9</v>
      </c>
      <c r="K147" s="1">
        <v>1</v>
      </c>
      <c r="L147" s="1">
        <v>6</v>
      </c>
      <c r="M147" s="16"/>
      <c r="N147" s="39">
        <f>Data[[#This Row],[Gross Wages]]/Data[[#This Row],[No. of Hours Worked]]</f>
        <v>0</v>
      </c>
      <c r="P147" s="33"/>
    </row>
    <row r="148" spans="1:16" x14ac:dyDescent="0.3">
      <c r="A148" s="15" t="s">
        <v>129</v>
      </c>
      <c r="B148" s="1">
        <v>2024</v>
      </c>
      <c r="C148" s="10">
        <v>45383</v>
      </c>
      <c r="D148" s="34" t="s">
        <v>87</v>
      </c>
      <c r="E148" s="1" t="s">
        <v>80</v>
      </c>
      <c r="F148" s="1" t="s">
        <v>130</v>
      </c>
      <c r="G148" s="1" t="s">
        <v>68</v>
      </c>
      <c r="H148" s="2" t="s">
        <v>131</v>
      </c>
      <c r="I148" s="1" t="s">
        <v>0</v>
      </c>
      <c r="J148" s="1" t="s">
        <v>9</v>
      </c>
      <c r="K148" s="1">
        <v>1</v>
      </c>
      <c r="L148" s="1">
        <v>19</v>
      </c>
      <c r="M148" s="28">
        <v>590.9</v>
      </c>
      <c r="N148" s="39">
        <f>Data[[#This Row],[Gross Wages]]/Data[[#This Row],[No. of Hours Worked]]</f>
        <v>31.099999999999998</v>
      </c>
      <c r="P148" s="33"/>
    </row>
    <row r="149" spans="1:16" x14ac:dyDescent="0.3">
      <c r="A149" s="15" t="s">
        <v>144</v>
      </c>
      <c r="B149" s="1">
        <v>2024</v>
      </c>
      <c r="C149" s="10">
        <v>45383</v>
      </c>
      <c r="D149" s="34" t="s">
        <v>87</v>
      </c>
      <c r="E149" s="1" t="s">
        <v>66</v>
      </c>
      <c r="F149" s="1" t="s">
        <v>95</v>
      </c>
      <c r="G149" s="1" t="s">
        <v>68</v>
      </c>
      <c r="H149" s="2" t="s">
        <v>96</v>
      </c>
      <c r="I149" s="1" t="s">
        <v>0</v>
      </c>
      <c r="J149" s="1" t="s">
        <v>9</v>
      </c>
      <c r="K149" s="1">
        <v>2</v>
      </c>
      <c r="L149" s="1">
        <v>198</v>
      </c>
      <c r="M149" s="28">
        <v>11470.24</v>
      </c>
      <c r="N149" s="39">
        <f>Data[[#This Row],[Gross Wages]]/Data[[#This Row],[No. of Hours Worked]]</f>
        <v>57.930505050505047</v>
      </c>
      <c r="P149" s="33"/>
    </row>
    <row r="150" spans="1:16" x14ac:dyDescent="0.3">
      <c r="A150" s="15" t="s">
        <v>144</v>
      </c>
      <c r="B150" s="1">
        <v>2024</v>
      </c>
      <c r="C150" s="10">
        <v>45383</v>
      </c>
      <c r="D150" s="34" t="s">
        <v>87</v>
      </c>
      <c r="E150" s="1" t="s">
        <v>66</v>
      </c>
      <c r="F150" s="1" t="s">
        <v>145</v>
      </c>
      <c r="G150" s="1" t="s">
        <v>68</v>
      </c>
      <c r="H150" s="2" t="s">
        <v>146</v>
      </c>
      <c r="I150" s="1" t="s">
        <v>0</v>
      </c>
      <c r="J150" s="1" t="s">
        <v>9</v>
      </c>
      <c r="K150" s="1">
        <v>4</v>
      </c>
      <c r="L150" s="1">
        <v>432</v>
      </c>
      <c r="M150" s="28">
        <v>20430.080000000002</v>
      </c>
      <c r="N150" s="39">
        <f>Data[[#This Row],[Gross Wages]]/Data[[#This Row],[No. of Hours Worked]]</f>
        <v>47.291851851851852</v>
      </c>
      <c r="P150" s="33"/>
    </row>
    <row r="151" spans="1:16" x14ac:dyDescent="0.3">
      <c r="A151" s="15" t="s">
        <v>144</v>
      </c>
      <c r="B151" s="1">
        <v>2024</v>
      </c>
      <c r="C151" s="10">
        <v>45383</v>
      </c>
      <c r="D151" s="34" t="s">
        <v>87</v>
      </c>
      <c r="E151" s="1" t="s">
        <v>66</v>
      </c>
      <c r="F151" s="1" t="s">
        <v>95</v>
      </c>
      <c r="G151" s="1" t="s">
        <v>68</v>
      </c>
      <c r="H151" s="2" t="s">
        <v>96</v>
      </c>
      <c r="I151" s="1" t="s">
        <v>3</v>
      </c>
      <c r="J151" s="1" t="s">
        <v>9</v>
      </c>
      <c r="K151" s="1">
        <v>1</v>
      </c>
      <c r="L151" s="1">
        <v>56</v>
      </c>
      <c r="M151" s="28">
        <v>5600</v>
      </c>
      <c r="N151" s="39">
        <f>Data[[#This Row],[Gross Wages]]/Data[[#This Row],[No. of Hours Worked]]</f>
        <v>100</v>
      </c>
      <c r="P151" s="33"/>
    </row>
    <row r="152" spans="1:16" x14ac:dyDescent="0.3">
      <c r="A152" s="15" t="s">
        <v>144</v>
      </c>
      <c r="B152" s="1">
        <v>2024</v>
      </c>
      <c r="C152" s="10">
        <v>45383</v>
      </c>
      <c r="D152" s="34" t="s">
        <v>87</v>
      </c>
      <c r="E152" s="1" t="s">
        <v>66</v>
      </c>
      <c r="F152" s="1" t="s">
        <v>95</v>
      </c>
      <c r="G152" s="1" t="s">
        <v>68</v>
      </c>
      <c r="H152" s="2" t="s">
        <v>96</v>
      </c>
      <c r="I152" s="1" t="s">
        <v>1</v>
      </c>
      <c r="J152" s="1" t="s">
        <v>9</v>
      </c>
      <c r="K152" s="1">
        <v>1</v>
      </c>
      <c r="L152" s="1">
        <v>42</v>
      </c>
      <c r="M152" s="28">
        <v>2134.4</v>
      </c>
      <c r="N152" s="39">
        <f>Data[[#This Row],[Gross Wages]]/Data[[#This Row],[No. of Hours Worked]]</f>
        <v>50.819047619047623</v>
      </c>
      <c r="P152" s="33"/>
    </row>
    <row r="153" spans="1:16" x14ac:dyDescent="0.3">
      <c r="A153" s="15" t="s">
        <v>144</v>
      </c>
      <c r="B153" s="1">
        <v>2024</v>
      </c>
      <c r="C153" s="10">
        <v>45383</v>
      </c>
      <c r="D153" s="34" t="s">
        <v>87</v>
      </c>
      <c r="E153" s="1" t="s">
        <v>66</v>
      </c>
      <c r="F153" s="1" t="s">
        <v>145</v>
      </c>
      <c r="G153" s="1" t="s">
        <v>68</v>
      </c>
      <c r="H153" s="2" t="s">
        <v>146</v>
      </c>
      <c r="I153" s="1" t="s">
        <v>111</v>
      </c>
      <c r="J153" s="1" t="s">
        <v>9</v>
      </c>
      <c r="K153" s="1">
        <v>2</v>
      </c>
      <c r="L153" s="1">
        <v>184</v>
      </c>
      <c r="M153" s="28">
        <v>8875.2000000000007</v>
      </c>
      <c r="N153" s="39">
        <f>Data[[#This Row],[Gross Wages]]/Data[[#This Row],[No. of Hours Worked]]</f>
        <v>48.234782608695653</v>
      </c>
      <c r="P153" s="33"/>
    </row>
    <row r="154" spans="1:16" x14ac:dyDescent="0.3">
      <c r="A154" s="15" t="s">
        <v>144</v>
      </c>
      <c r="B154" s="1">
        <v>2024</v>
      </c>
      <c r="C154" s="10">
        <v>45383</v>
      </c>
      <c r="D154" s="34" t="s">
        <v>87</v>
      </c>
      <c r="E154" s="1" t="s">
        <v>66</v>
      </c>
      <c r="F154" s="1" t="s">
        <v>145</v>
      </c>
      <c r="G154" s="1" t="s">
        <v>68</v>
      </c>
      <c r="H154" s="2" t="s">
        <v>146</v>
      </c>
      <c r="I154" s="1" t="s">
        <v>1</v>
      </c>
      <c r="J154" s="1" t="s">
        <v>9</v>
      </c>
      <c r="K154" s="1">
        <v>2</v>
      </c>
      <c r="L154" s="1">
        <v>160</v>
      </c>
      <c r="M154" s="28">
        <v>7742.4</v>
      </c>
      <c r="N154" s="39">
        <f>Data[[#This Row],[Gross Wages]]/Data[[#This Row],[No. of Hours Worked]]</f>
        <v>48.39</v>
      </c>
      <c r="P154" s="33"/>
    </row>
    <row r="155" spans="1:16" x14ac:dyDescent="0.3">
      <c r="A155" s="15" t="s">
        <v>132</v>
      </c>
      <c r="B155" s="1">
        <v>2024</v>
      </c>
      <c r="C155" s="10">
        <v>45383</v>
      </c>
      <c r="D155" s="34" t="s">
        <v>87</v>
      </c>
      <c r="E155" s="1" t="s">
        <v>66</v>
      </c>
      <c r="F155" s="1" t="s">
        <v>125</v>
      </c>
      <c r="G155" s="1" t="s">
        <v>68</v>
      </c>
      <c r="H155" s="2" t="s">
        <v>126</v>
      </c>
      <c r="I155" s="1" t="s">
        <v>3</v>
      </c>
      <c r="J155" s="1" t="s">
        <v>9</v>
      </c>
      <c r="K155" s="1">
        <v>1</v>
      </c>
      <c r="L155" s="1">
        <v>6</v>
      </c>
      <c r="M155" s="28">
        <v>183</v>
      </c>
      <c r="N155" s="39">
        <f>Data[[#This Row],[Gross Wages]]/Data[[#This Row],[No. of Hours Worked]]</f>
        <v>30.5</v>
      </c>
      <c r="P155" s="33"/>
    </row>
    <row r="156" spans="1:16" x14ac:dyDescent="0.3">
      <c r="A156" s="15" t="s">
        <v>132</v>
      </c>
      <c r="B156" s="1">
        <v>2024</v>
      </c>
      <c r="C156" s="10">
        <v>45383</v>
      </c>
      <c r="D156" s="34" t="s">
        <v>87</v>
      </c>
      <c r="E156" s="1" t="s">
        <v>66</v>
      </c>
      <c r="F156" s="1" t="s">
        <v>125</v>
      </c>
      <c r="G156" s="1" t="s">
        <v>68</v>
      </c>
      <c r="H156" s="2" t="s">
        <v>126</v>
      </c>
      <c r="I156" s="1" t="s">
        <v>0</v>
      </c>
      <c r="J156" s="1" t="s">
        <v>9</v>
      </c>
      <c r="K156" s="1">
        <v>2</v>
      </c>
      <c r="L156" s="1">
        <v>14</v>
      </c>
      <c r="M156" s="28">
        <v>451.4</v>
      </c>
      <c r="N156" s="39">
        <f>Data[[#This Row],[Gross Wages]]/Data[[#This Row],[No. of Hours Worked]]</f>
        <v>32.24285714285714</v>
      </c>
      <c r="P156" s="33"/>
    </row>
    <row r="157" spans="1:16" x14ac:dyDescent="0.3">
      <c r="A157" s="15" t="s">
        <v>43</v>
      </c>
      <c r="B157" s="1">
        <v>2024</v>
      </c>
      <c r="C157" s="10">
        <v>45413</v>
      </c>
      <c r="D157" s="2" t="s">
        <v>87</v>
      </c>
      <c r="E157" s="1" t="s">
        <v>80</v>
      </c>
      <c r="F157" s="1" t="s">
        <v>88</v>
      </c>
      <c r="G157" s="1" t="s">
        <v>68</v>
      </c>
      <c r="H157" s="2" t="s">
        <v>89</v>
      </c>
      <c r="I157" s="1" t="s">
        <v>0</v>
      </c>
      <c r="J157" s="1" t="s">
        <v>9</v>
      </c>
      <c r="K157" s="1">
        <v>3</v>
      </c>
      <c r="L157" s="1">
        <v>336</v>
      </c>
      <c r="M157" s="28">
        <v>11300.8</v>
      </c>
      <c r="N157" s="39">
        <f>Data[[#This Row],[Gross Wages]]/Data[[#This Row],[No. of Hours Worked]]</f>
        <v>33.633333333333333</v>
      </c>
      <c r="P157" s="33"/>
    </row>
    <row r="158" spans="1:16" x14ac:dyDescent="0.3">
      <c r="A158" s="15" t="s">
        <v>44</v>
      </c>
      <c r="B158" s="1">
        <v>2024</v>
      </c>
      <c r="C158" s="10">
        <v>45413</v>
      </c>
      <c r="D158" s="2" t="s">
        <v>87</v>
      </c>
      <c r="E158" s="1"/>
      <c r="F158" s="1"/>
      <c r="G158" s="1"/>
      <c r="H158" s="2"/>
      <c r="I158" s="1" t="s">
        <v>0</v>
      </c>
      <c r="J158" s="1" t="s">
        <v>9</v>
      </c>
      <c r="K158" s="1">
        <v>8</v>
      </c>
      <c r="L158" s="1">
        <v>463</v>
      </c>
      <c r="M158" s="16"/>
      <c r="N158" s="39">
        <f>Data[[#This Row],[Gross Wages]]/Data[[#This Row],[No. of Hours Worked]]</f>
        <v>0</v>
      </c>
      <c r="P158" s="33"/>
    </row>
    <row r="159" spans="1:16" x14ac:dyDescent="0.3">
      <c r="A159" s="15" t="s">
        <v>44</v>
      </c>
      <c r="B159" s="1">
        <v>2024</v>
      </c>
      <c r="C159" s="10">
        <v>45413</v>
      </c>
      <c r="D159" s="2" t="s">
        <v>87</v>
      </c>
      <c r="E159" s="1"/>
      <c r="F159" s="1"/>
      <c r="G159" s="1"/>
      <c r="H159" s="2"/>
      <c r="I159" s="1" t="s">
        <v>2</v>
      </c>
      <c r="J159" s="1" t="s">
        <v>9</v>
      </c>
      <c r="K159" s="1">
        <v>1</v>
      </c>
      <c r="L159" s="1">
        <v>148</v>
      </c>
      <c r="M159" s="16"/>
      <c r="N159" s="39">
        <f>Data[[#This Row],[Gross Wages]]/Data[[#This Row],[No. of Hours Worked]]</f>
        <v>0</v>
      </c>
      <c r="P159" s="33"/>
    </row>
    <row r="160" spans="1:16" x14ac:dyDescent="0.3">
      <c r="A160" s="15" t="s">
        <v>45</v>
      </c>
      <c r="B160" s="1">
        <v>2024</v>
      </c>
      <c r="C160" s="10">
        <v>45413</v>
      </c>
      <c r="D160" s="2" t="s">
        <v>87</v>
      </c>
      <c r="E160" s="1"/>
      <c r="F160" s="1"/>
      <c r="G160" s="1"/>
      <c r="H160" s="2"/>
      <c r="I160" s="1" t="s">
        <v>0</v>
      </c>
      <c r="J160" s="1" t="s">
        <v>9</v>
      </c>
      <c r="K160" s="1">
        <v>6</v>
      </c>
      <c r="L160" s="1">
        <v>579</v>
      </c>
      <c r="M160" s="16"/>
      <c r="N160" s="39">
        <f>Data[[#This Row],[Gross Wages]]/Data[[#This Row],[No. of Hours Worked]]</f>
        <v>0</v>
      </c>
      <c r="P160" s="33"/>
    </row>
    <row r="161" spans="1:16" x14ac:dyDescent="0.3">
      <c r="A161" s="15" t="s">
        <v>124</v>
      </c>
      <c r="B161" s="1">
        <v>2024</v>
      </c>
      <c r="C161" s="10">
        <v>45413</v>
      </c>
      <c r="D161" s="34" t="s">
        <v>87</v>
      </c>
      <c r="E161" s="1" t="s">
        <v>66</v>
      </c>
      <c r="F161" s="1" t="s">
        <v>72</v>
      </c>
      <c r="G161" s="1" t="s">
        <v>73</v>
      </c>
      <c r="H161" s="2" t="s">
        <v>74</v>
      </c>
      <c r="I161" s="1" t="s">
        <v>0</v>
      </c>
      <c r="J161" s="1" t="s">
        <v>9</v>
      </c>
      <c r="K161" s="1">
        <v>2</v>
      </c>
      <c r="L161" s="1">
        <v>2</v>
      </c>
      <c r="M161" s="28">
        <v>102.65</v>
      </c>
      <c r="N161" s="39">
        <f>Data[[#This Row],[Gross Wages]]/Data[[#This Row],[No. of Hours Worked]]</f>
        <v>51.325000000000003</v>
      </c>
      <c r="P161" s="33"/>
    </row>
    <row r="162" spans="1:16" x14ac:dyDescent="0.3">
      <c r="A162" s="15" t="s">
        <v>46</v>
      </c>
      <c r="B162" s="1">
        <v>2024</v>
      </c>
      <c r="C162" s="10">
        <v>45413</v>
      </c>
      <c r="D162" s="2" t="s">
        <v>87</v>
      </c>
      <c r="E162" s="1"/>
      <c r="F162" s="1"/>
      <c r="G162" s="1"/>
      <c r="H162" s="2"/>
      <c r="I162" s="1" t="s">
        <v>3</v>
      </c>
      <c r="J162" s="1" t="s">
        <v>9</v>
      </c>
      <c r="K162" s="1">
        <v>1</v>
      </c>
      <c r="L162" s="1">
        <v>1</v>
      </c>
      <c r="M162" s="16"/>
      <c r="N162" s="39">
        <f>Data[[#This Row],[Gross Wages]]/Data[[#This Row],[No. of Hours Worked]]</f>
        <v>0</v>
      </c>
      <c r="P162" s="33"/>
    </row>
    <row r="163" spans="1:16" x14ac:dyDescent="0.3">
      <c r="A163" s="15" t="s">
        <v>140</v>
      </c>
      <c r="B163" s="1">
        <v>2024</v>
      </c>
      <c r="C163" s="10">
        <v>45413</v>
      </c>
      <c r="D163" s="34" t="s">
        <v>87</v>
      </c>
      <c r="E163" s="1" t="s">
        <v>66</v>
      </c>
      <c r="F163" s="1" t="s">
        <v>70</v>
      </c>
      <c r="G163" s="1" t="s">
        <v>68</v>
      </c>
      <c r="H163" s="2" t="s">
        <v>71</v>
      </c>
      <c r="I163" s="1" t="s">
        <v>0</v>
      </c>
      <c r="J163" s="1" t="s">
        <v>9</v>
      </c>
      <c r="K163" s="1">
        <v>4</v>
      </c>
      <c r="L163" s="1">
        <v>541</v>
      </c>
      <c r="M163" s="28">
        <v>15765.45</v>
      </c>
      <c r="N163" s="39">
        <f>Data[[#This Row],[Gross Wages]]/Data[[#This Row],[No. of Hours Worked]]</f>
        <v>29.141312384473199</v>
      </c>
      <c r="P163" s="33"/>
    </row>
    <row r="164" spans="1:16" x14ac:dyDescent="0.3">
      <c r="A164" s="15" t="s">
        <v>128</v>
      </c>
      <c r="B164" s="1">
        <v>2024</v>
      </c>
      <c r="C164" s="10">
        <v>45413</v>
      </c>
      <c r="D164" s="34" t="s">
        <v>87</v>
      </c>
      <c r="E164" s="1" t="s">
        <v>66</v>
      </c>
      <c r="F164" s="1" t="s">
        <v>97</v>
      </c>
      <c r="G164" s="1" t="s">
        <v>68</v>
      </c>
      <c r="H164" s="2" t="s">
        <v>98</v>
      </c>
      <c r="I164" s="1" t="s">
        <v>1</v>
      </c>
      <c r="J164" s="1" t="s">
        <v>9</v>
      </c>
      <c r="K164" s="1">
        <v>1</v>
      </c>
      <c r="L164" s="1">
        <v>3</v>
      </c>
      <c r="M164" s="28">
        <v>108.54</v>
      </c>
      <c r="N164" s="39">
        <f>Data[[#This Row],[Gross Wages]]/Data[[#This Row],[No. of Hours Worked]]</f>
        <v>36.18</v>
      </c>
      <c r="P164" s="33"/>
    </row>
    <row r="165" spans="1:16" x14ac:dyDescent="0.3">
      <c r="A165" s="15" t="s">
        <v>128</v>
      </c>
      <c r="B165" s="1">
        <v>2024</v>
      </c>
      <c r="C165" s="10">
        <v>45413</v>
      </c>
      <c r="D165" s="34" t="s">
        <v>87</v>
      </c>
      <c r="E165" s="1" t="s">
        <v>66</v>
      </c>
      <c r="F165" s="1" t="s">
        <v>97</v>
      </c>
      <c r="G165" s="1" t="s">
        <v>68</v>
      </c>
      <c r="H165" s="2" t="s">
        <v>98</v>
      </c>
      <c r="I165" s="1" t="s">
        <v>0</v>
      </c>
      <c r="J165" s="1" t="s">
        <v>9</v>
      </c>
      <c r="K165" s="1">
        <v>9</v>
      </c>
      <c r="L165" s="1">
        <v>798</v>
      </c>
      <c r="M165" s="28">
        <v>28257.98</v>
      </c>
      <c r="N165" s="39">
        <f>Data[[#This Row],[Gross Wages]]/Data[[#This Row],[No. of Hours Worked]]</f>
        <v>35.41100250626566</v>
      </c>
      <c r="P165" s="33"/>
    </row>
    <row r="166" spans="1:16" x14ac:dyDescent="0.3">
      <c r="A166" s="15" t="s">
        <v>49</v>
      </c>
      <c r="B166" s="1">
        <v>2024</v>
      </c>
      <c r="C166" s="10">
        <v>45413</v>
      </c>
      <c r="D166" s="2" t="s">
        <v>87</v>
      </c>
      <c r="E166" s="1"/>
      <c r="F166" s="1"/>
      <c r="G166" s="1"/>
      <c r="H166" s="2"/>
      <c r="I166" s="1" t="s">
        <v>0</v>
      </c>
      <c r="J166" s="1" t="s">
        <v>9</v>
      </c>
      <c r="K166" s="1">
        <v>4</v>
      </c>
      <c r="L166" s="1">
        <v>440</v>
      </c>
      <c r="M166" s="16"/>
      <c r="N166" s="39">
        <f>Data[[#This Row],[Gross Wages]]/Data[[#This Row],[No. of Hours Worked]]</f>
        <v>0</v>
      </c>
      <c r="P166" s="33"/>
    </row>
    <row r="167" spans="1:16" x14ac:dyDescent="0.3">
      <c r="A167" s="15" t="s">
        <v>144</v>
      </c>
      <c r="B167" s="1">
        <v>2024</v>
      </c>
      <c r="C167" s="10">
        <v>45413</v>
      </c>
      <c r="D167" s="34" t="s">
        <v>87</v>
      </c>
      <c r="E167" s="1" t="s">
        <v>66</v>
      </c>
      <c r="F167" s="1" t="s">
        <v>95</v>
      </c>
      <c r="G167" s="1" t="s">
        <v>68</v>
      </c>
      <c r="H167" s="2" t="s">
        <v>96</v>
      </c>
      <c r="I167" s="1" t="s">
        <v>0</v>
      </c>
      <c r="J167" s="1" t="s">
        <v>9</v>
      </c>
      <c r="K167" s="1">
        <v>2</v>
      </c>
      <c r="L167" s="1">
        <v>73</v>
      </c>
      <c r="M167" s="28">
        <v>3870.18</v>
      </c>
      <c r="N167" s="39"/>
      <c r="P167" s="33"/>
    </row>
    <row r="168" spans="1:16" x14ac:dyDescent="0.3">
      <c r="A168" s="15" t="s">
        <v>144</v>
      </c>
      <c r="B168" s="1">
        <v>2024</v>
      </c>
      <c r="C168" s="10">
        <v>45413</v>
      </c>
      <c r="D168" s="34" t="s">
        <v>87</v>
      </c>
      <c r="E168" s="1" t="s">
        <v>66</v>
      </c>
      <c r="F168" s="1" t="s">
        <v>145</v>
      </c>
      <c r="G168" s="1" t="s">
        <v>68</v>
      </c>
      <c r="H168" s="2" t="s">
        <v>146</v>
      </c>
      <c r="I168" s="1" t="s">
        <v>0</v>
      </c>
      <c r="J168" s="1" t="s">
        <v>9</v>
      </c>
      <c r="K168" s="1">
        <v>3</v>
      </c>
      <c r="L168" s="1">
        <v>96</v>
      </c>
      <c r="M168" s="28">
        <v>4519.6000000000004</v>
      </c>
      <c r="N168" s="39"/>
      <c r="P168" s="33"/>
    </row>
    <row r="169" spans="1:16" x14ac:dyDescent="0.3">
      <c r="A169" s="15" t="s">
        <v>144</v>
      </c>
      <c r="B169" s="1">
        <v>2024</v>
      </c>
      <c r="C169" s="10">
        <v>45413</v>
      </c>
      <c r="D169" s="34" t="s">
        <v>87</v>
      </c>
      <c r="E169" s="1" t="s">
        <v>66</v>
      </c>
      <c r="F169" s="1" t="s">
        <v>95</v>
      </c>
      <c r="G169" s="1" t="s">
        <v>68</v>
      </c>
      <c r="H169" s="2" t="s">
        <v>96</v>
      </c>
      <c r="I169" s="1" t="s">
        <v>3</v>
      </c>
      <c r="J169" s="1" t="s">
        <v>9</v>
      </c>
      <c r="K169" s="1">
        <v>1</v>
      </c>
      <c r="L169" s="1">
        <v>16</v>
      </c>
      <c r="M169" s="28">
        <v>1600</v>
      </c>
      <c r="N169" s="39"/>
      <c r="P169" s="33"/>
    </row>
    <row r="170" spans="1:16" x14ac:dyDescent="0.3">
      <c r="A170" s="15" t="s">
        <v>144</v>
      </c>
      <c r="B170" s="1">
        <v>2024</v>
      </c>
      <c r="C170" s="10">
        <v>45413</v>
      </c>
      <c r="D170" s="34" t="s">
        <v>87</v>
      </c>
      <c r="E170" s="1" t="s">
        <v>66</v>
      </c>
      <c r="F170" s="1" t="s">
        <v>145</v>
      </c>
      <c r="G170" s="1" t="s">
        <v>68</v>
      </c>
      <c r="H170" s="2" t="s">
        <v>146</v>
      </c>
      <c r="I170" s="1" t="s">
        <v>111</v>
      </c>
      <c r="J170" s="1" t="s">
        <v>9</v>
      </c>
      <c r="K170" s="1">
        <v>1</v>
      </c>
      <c r="L170" s="1">
        <v>56</v>
      </c>
      <c r="M170" s="28">
        <v>2705.2</v>
      </c>
      <c r="N170" s="39"/>
      <c r="P170" s="33"/>
    </row>
    <row r="171" spans="1:16" x14ac:dyDescent="0.3">
      <c r="A171" s="15" t="s">
        <v>144</v>
      </c>
      <c r="B171" s="1">
        <v>2024</v>
      </c>
      <c r="C171" s="10">
        <v>45413</v>
      </c>
      <c r="D171" s="34" t="s">
        <v>87</v>
      </c>
      <c r="E171" s="1" t="s">
        <v>66</v>
      </c>
      <c r="F171" s="1" t="s">
        <v>145</v>
      </c>
      <c r="G171" s="1" t="s">
        <v>68</v>
      </c>
      <c r="H171" s="2" t="s">
        <v>146</v>
      </c>
      <c r="I171" s="1" t="s">
        <v>1</v>
      </c>
      <c r="J171" s="1" t="s">
        <v>9</v>
      </c>
      <c r="K171" s="1">
        <v>1</v>
      </c>
      <c r="L171" s="1">
        <v>32</v>
      </c>
      <c r="M171" s="28">
        <v>1548.4</v>
      </c>
      <c r="N171" s="39"/>
      <c r="P171" s="33"/>
    </row>
    <row r="172" spans="1:16" x14ac:dyDescent="0.3">
      <c r="A172" s="15" t="s">
        <v>132</v>
      </c>
      <c r="B172" s="1">
        <v>2024</v>
      </c>
      <c r="C172" s="10">
        <v>45413</v>
      </c>
      <c r="D172" s="34" t="s">
        <v>87</v>
      </c>
      <c r="E172" s="1" t="s">
        <v>66</v>
      </c>
      <c r="F172" s="1" t="s">
        <v>125</v>
      </c>
      <c r="G172" s="1" t="s">
        <v>68</v>
      </c>
      <c r="H172" s="2" t="s">
        <v>126</v>
      </c>
      <c r="I172" s="1" t="s">
        <v>0</v>
      </c>
      <c r="J172" s="1" t="s">
        <v>10</v>
      </c>
      <c r="K172" s="1">
        <v>1</v>
      </c>
      <c r="L172" s="1">
        <v>34</v>
      </c>
      <c r="M172" s="28">
        <v>1111.26</v>
      </c>
      <c r="N172" s="39">
        <f>Data[[#This Row],[Gross Wages]]/Data[[#This Row],[No. of Hours Worked]]</f>
        <v>32.684117647058827</v>
      </c>
      <c r="P172" s="33"/>
    </row>
    <row r="173" spans="1:16" x14ac:dyDescent="0.3">
      <c r="A173" s="15" t="s">
        <v>132</v>
      </c>
      <c r="B173" s="1">
        <v>2024</v>
      </c>
      <c r="C173" s="10">
        <v>45413</v>
      </c>
      <c r="D173" s="34" t="s">
        <v>87</v>
      </c>
      <c r="E173" s="1" t="s">
        <v>66</v>
      </c>
      <c r="F173" s="1" t="s">
        <v>125</v>
      </c>
      <c r="G173" s="1" t="s">
        <v>68</v>
      </c>
      <c r="H173" s="2" t="s">
        <v>126</v>
      </c>
      <c r="I173" s="1" t="s">
        <v>3</v>
      </c>
      <c r="J173" s="1" t="s">
        <v>9</v>
      </c>
      <c r="K173" s="1">
        <v>1</v>
      </c>
      <c r="L173" s="1">
        <v>35</v>
      </c>
      <c r="M173" s="28">
        <v>1148.8800000000001</v>
      </c>
      <c r="N173" s="39">
        <f>Data[[#This Row],[Gross Wages]]/Data[[#This Row],[No. of Hours Worked]]</f>
        <v>32.825142857142858</v>
      </c>
      <c r="P173" s="33"/>
    </row>
    <row r="174" spans="1:16" x14ac:dyDescent="0.3">
      <c r="A174" s="15" t="s">
        <v>132</v>
      </c>
      <c r="B174" s="1">
        <v>2024</v>
      </c>
      <c r="C174" s="10">
        <v>45413</v>
      </c>
      <c r="D174" s="34" t="s">
        <v>87</v>
      </c>
      <c r="E174" s="1" t="s">
        <v>66</v>
      </c>
      <c r="F174" s="1" t="s">
        <v>125</v>
      </c>
      <c r="G174" s="1" t="s">
        <v>68</v>
      </c>
      <c r="H174" s="2" t="s">
        <v>126</v>
      </c>
      <c r="I174" s="1" t="s">
        <v>0</v>
      </c>
      <c r="J174" s="1" t="s">
        <v>9</v>
      </c>
      <c r="K174" s="1">
        <v>8</v>
      </c>
      <c r="L174" s="1">
        <v>184.5</v>
      </c>
      <c r="M174" s="28">
        <v>6361.46</v>
      </c>
      <c r="N174" s="39">
        <f>Data[[#This Row],[Gross Wages]]/Data[[#This Row],[No. of Hours Worked]]</f>
        <v>34.479457994579946</v>
      </c>
      <c r="P174" s="33"/>
    </row>
    <row r="175" spans="1:16" x14ac:dyDescent="0.3">
      <c r="A175" s="15" t="s">
        <v>39</v>
      </c>
      <c r="B175" s="1">
        <v>2024</v>
      </c>
      <c r="C175" s="10">
        <v>45444</v>
      </c>
      <c r="D175" s="2" t="s">
        <v>87</v>
      </c>
      <c r="E175" s="1"/>
      <c r="F175" s="1"/>
      <c r="G175" s="1"/>
      <c r="H175" s="2"/>
      <c r="I175" s="1" t="s">
        <v>0</v>
      </c>
      <c r="J175" s="1" t="s">
        <v>9</v>
      </c>
      <c r="K175" s="1">
        <v>1</v>
      </c>
      <c r="L175" s="1">
        <v>8</v>
      </c>
      <c r="M175" s="16"/>
      <c r="N175" s="39">
        <f>Data[[#This Row],[Gross Wages]]/Data[[#This Row],[No. of Hours Worked]]</f>
        <v>0</v>
      </c>
      <c r="P175" s="33"/>
    </row>
    <row r="176" spans="1:16" x14ac:dyDescent="0.3">
      <c r="A176" s="15" t="s">
        <v>41</v>
      </c>
      <c r="B176" s="1">
        <v>2024</v>
      </c>
      <c r="C176" s="10">
        <v>45444</v>
      </c>
      <c r="D176" s="2" t="s">
        <v>87</v>
      </c>
      <c r="E176" s="1"/>
      <c r="F176" s="1"/>
      <c r="G176" s="1"/>
      <c r="H176" s="2"/>
      <c r="I176" s="1" t="s">
        <v>0</v>
      </c>
      <c r="J176" s="1" t="s">
        <v>9</v>
      </c>
      <c r="K176" s="1">
        <v>9</v>
      </c>
      <c r="L176" s="1">
        <v>69</v>
      </c>
      <c r="M176" s="16"/>
      <c r="N176" s="39">
        <f>Data[[#This Row],[Gross Wages]]/Data[[#This Row],[No. of Hours Worked]]</f>
        <v>0</v>
      </c>
      <c r="P176" s="33"/>
    </row>
    <row r="177" spans="1:16" x14ac:dyDescent="0.3">
      <c r="A177" s="15" t="s">
        <v>41</v>
      </c>
      <c r="B177" s="1">
        <v>2024</v>
      </c>
      <c r="C177" s="10">
        <v>45444</v>
      </c>
      <c r="D177" s="2" t="s">
        <v>87</v>
      </c>
      <c r="E177" s="1"/>
      <c r="F177" s="1"/>
      <c r="G177" s="1"/>
      <c r="H177" s="2"/>
      <c r="I177" s="1" t="s">
        <v>1</v>
      </c>
      <c r="J177" s="1" t="s">
        <v>9</v>
      </c>
      <c r="K177" s="1">
        <v>1</v>
      </c>
      <c r="L177" s="1">
        <v>9</v>
      </c>
      <c r="M177" s="16"/>
      <c r="N177" s="39">
        <f>Data[[#This Row],[Gross Wages]]/Data[[#This Row],[No. of Hours Worked]]</f>
        <v>0</v>
      </c>
      <c r="P177" s="33"/>
    </row>
    <row r="178" spans="1:16" x14ac:dyDescent="0.3">
      <c r="A178" s="15" t="s">
        <v>43</v>
      </c>
      <c r="B178" s="1">
        <v>2024</v>
      </c>
      <c r="C178" s="10">
        <v>45444</v>
      </c>
      <c r="D178" s="2" t="s">
        <v>87</v>
      </c>
      <c r="E178" s="1"/>
      <c r="F178" s="1"/>
      <c r="G178" s="1"/>
      <c r="H178" s="2"/>
      <c r="I178" s="1" t="s">
        <v>0</v>
      </c>
      <c r="J178" s="1" t="s">
        <v>9</v>
      </c>
      <c r="K178" s="1">
        <v>4</v>
      </c>
      <c r="L178" s="1">
        <v>400</v>
      </c>
      <c r="M178" s="16"/>
      <c r="N178" s="39">
        <f>Data[[#This Row],[Gross Wages]]/Data[[#This Row],[No. of Hours Worked]]</f>
        <v>0</v>
      </c>
      <c r="P178" s="33"/>
    </row>
    <row r="179" spans="1:16" x14ac:dyDescent="0.3">
      <c r="A179" s="15" t="s">
        <v>44</v>
      </c>
      <c r="B179" s="1">
        <v>2024</v>
      </c>
      <c r="C179" s="10">
        <v>45444</v>
      </c>
      <c r="D179" s="2" t="s">
        <v>87</v>
      </c>
      <c r="E179" s="1"/>
      <c r="F179" s="1"/>
      <c r="G179" s="1"/>
      <c r="H179" s="2"/>
      <c r="I179" s="1" t="s">
        <v>0</v>
      </c>
      <c r="J179" s="1" t="s">
        <v>9</v>
      </c>
      <c r="K179" s="1">
        <v>7</v>
      </c>
      <c r="L179" s="1">
        <v>506</v>
      </c>
      <c r="M179" s="16"/>
      <c r="N179" s="39">
        <f>Data[[#This Row],[Gross Wages]]/Data[[#This Row],[No. of Hours Worked]]</f>
        <v>0</v>
      </c>
      <c r="P179" s="33"/>
    </row>
    <row r="180" spans="1:16" x14ac:dyDescent="0.3">
      <c r="A180" s="15" t="s">
        <v>45</v>
      </c>
      <c r="B180" s="1">
        <v>2024</v>
      </c>
      <c r="C180" s="10">
        <v>45444</v>
      </c>
      <c r="D180" s="2" t="s">
        <v>87</v>
      </c>
      <c r="E180" s="1" t="s">
        <v>66</v>
      </c>
      <c r="F180" s="1" t="s">
        <v>67</v>
      </c>
      <c r="G180" s="1" t="s">
        <v>68</v>
      </c>
      <c r="H180" s="2" t="s">
        <v>69</v>
      </c>
      <c r="I180" s="1" t="s">
        <v>0</v>
      </c>
      <c r="J180" s="1" t="s">
        <v>9</v>
      </c>
      <c r="K180" s="1">
        <v>7</v>
      </c>
      <c r="L180" s="1">
        <v>724</v>
      </c>
      <c r="M180" s="28">
        <v>30701.14</v>
      </c>
      <c r="N180" s="39">
        <f>Data[[#This Row],[Gross Wages]]/Data[[#This Row],[No. of Hours Worked]]</f>
        <v>42.40488950276243</v>
      </c>
      <c r="P180" s="33"/>
    </row>
    <row r="181" spans="1:16" x14ac:dyDescent="0.3">
      <c r="A181" s="15" t="s">
        <v>46</v>
      </c>
      <c r="B181" s="1">
        <v>2024</v>
      </c>
      <c r="C181" s="10">
        <v>45444</v>
      </c>
      <c r="D181" s="2" t="s">
        <v>87</v>
      </c>
      <c r="E181" s="1"/>
      <c r="F181" s="1"/>
      <c r="G181" s="1"/>
      <c r="H181" s="2"/>
      <c r="I181" s="1" t="s">
        <v>0</v>
      </c>
      <c r="J181" s="1" t="s">
        <v>9</v>
      </c>
      <c r="K181" s="1">
        <v>1</v>
      </c>
      <c r="L181" s="1">
        <v>27.5</v>
      </c>
      <c r="M181" s="16"/>
      <c r="N181" s="39">
        <f>Data[[#This Row],[Gross Wages]]/Data[[#This Row],[No. of Hours Worked]]</f>
        <v>0</v>
      </c>
      <c r="P181" s="33"/>
    </row>
    <row r="182" spans="1:16" x14ac:dyDescent="0.3">
      <c r="A182" s="15" t="s">
        <v>140</v>
      </c>
      <c r="B182" s="1">
        <v>2024</v>
      </c>
      <c r="C182" s="10">
        <v>45444</v>
      </c>
      <c r="D182" s="34" t="s">
        <v>87</v>
      </c>
      <c r="E182" s="1" t="s">
        <v>66</v>
      </c>
      <c r="F182" s="1" t="s">
        <v>70</v>
      </c>
      <c r="G182" s="1" t="s">
        <v>68</v>
      </c>
      <c r="H182" s="2" t="s">
        <v>71</v>
      </c>
      <c r="I182" s="1" t="s">
        <v>0</v>
      </c>
      <c r="J182" s="1" t="s">
        <v>9</v>
      </c>
      <c r="K182" s="1">
        <v>5</v>
      </c>
      <c r="L182" s="1">
        <v>438</v>
      </c>
      <c r="M182" s="28">
        <v>12446.95</v>
      </c>
      <c r="N182" s="39">
        <f>Data[[#This Row],[Gross Wages]]/Data[[#This Row],[No. of Hours Worked]]</f>
        <v>28.417694063926941</v>
      </c>
      <c r="P182" s="33"/>
    </row>
    <row r="183" spans="1:16" x14ac:dyDescent="0.3">
      <c r="A183" s="15" t="s">
        <v>128</v>
      </c>
      <c r="B183" s="1">
        <v>2024</v>
      </c>
      <c r="C183" s="10">
        <v>45444</v>
      </c>
      <c r="D183" s="34" t="s">
        <v>87</v>
      </c>
      <c r="E183" s="1" t="s">
        <v>66</v>
      </c>
      <c r="F183" s="1" t="s">
        <v>97</v>
      </c>
      <c r="G183" s="1" t="s">
        <v>68</v>
      </c>
      <c r="H183" s="2" t="s">
        <v>98</v>
      </c>
      <c r="I183" s="1" t="s">
        <v>0</v>
      </c>
      <c r="J183" s="1" t="s">
        <v>9</v>
      </c>
      <c r="K183" s="1">
        <v>8</v>
      </c>
      <c r="L183" s="1">
        <v>858</v>
      </c>
      <c r="M183" s="28">
        <v>29808.83</v>
      </c>
      <c r="N183" s="39">
        <f>Data[[#This Row],[Gross Wages]]/Data[[#This Row],[No. of Hours Worked]]</f>
        <v>34.742226107226109</v>
      </c>
      <c r="P183" s="33"/>
    </row>
    <row r="184" spans="1:16" x14ac:dyDescent="0.3">
      <c r="A184" s="15" t="s">
        <v>48</v>
      </c>
      <c r="B184" s="1">
        <v>2024</v>
      </c>
      <c r="C184" s="10">
        <v>45444</v>
      </c>
      <c r="D184" s="2" t="s">
        <v>87</v>
      </c>
      <c r="E184" s="1" t="s">
        <v>66</v>
      </c>
      <c r="F184" s="1" t="s">
        <v>84</v>
      </c>
      <c r="G184" s="1" t="s">
        <v>68</v>
      </c>
      <c r="H184" s="2" t="s">
        <v>85</v>
      </c>
      <c r="I184" s="1" t="s">
        <v>0</v>
      </c>
      <c r="J184" s="1" t="s">
        <v>9</v>
      </c>
      <c r="K184" s="1">
        <v>7</v>
      </c>
      <c r="L184" s="1">
        <v>583</v>
      </c>
      <c r="M184" s="28">
        <v>23214.55</v>
      </c>
      <c r="N184" s="39">
        <f>Data[[#This Row],[Gross Wages]]/Data[[#This Row],[No. of Hours Worked]]</f>
        <v>39.819125214408231</v>
      </c>
      <c r="P184" s="33"/>
    </row>
    <row r="185" spans="1:16" x14ac:dyDescent="0.3">
      <c r="A185" s="15" t="s">
        <v>49</v>
      </c>
      <c r="B185" s="1">
        <v>2024</v>
      </c>
      <c r="C185" s="10">
        <v>45444</v>
      </c>
      <c r="D185" s="2" t="s">
        <v>87</v>
      </c>
      <c r="E185" s="1"/>
      <c r="F185" s="1"/>
      <c r="G185" s="1"/>
      <c r="H185" s="2"/>
      <c r="I185" s="1" t="s">
        <v>0</v>
      </c>
      <c r="J185" s="1" t="s">
        <v>9</v>
      </c>
      <c r="K185" s="1">
        <v>4</v>
      </c>
      <c r="L185" s="1">
        <v>592.5</v>
      </c>
      <c r="M185" s="16"/>
      <c r="N185" s="39">
        <f>Data[[#This Row],[Gross Wages]]/Data[[#This Row],[No. of Hours Worked]]</f>
        <v>0</v>
      </c>
      <c r="P185" s="33"/>
    </row>
    <row r="186" spans="1:16" x14ac:dyDescent="0.3">
      <c r="A186" s="15" t="s">
        <v>129</v>
      </c>
      <c r="B186" s="1">
        <v>2024</v>
      </c>
      <c r="C186" s="10">
        <v>45444</v>
      </c>
      <c r="D186" s="34" t="s">
        <v>87</v>
      </c>
      <c r="E186" s="1" t="s">
        <v>80</v>
      </c>
      <c r="F186" s="1" t="s">
        <v>130</v>
      </c>
      <c r="G186" s="1" t="s">
        <v>68</v>
      </c>
      <c r="H186" s="2" t="s">
        <v>131</v>
      </c>
      <c r="I186" s="1" t="s">
        <v>0</v>
      </c>
      <c r="J186" s="1" t="s">
        <v>9</v>
      </c>
      <c r="K186" s="1">
        <v>9</v>
      </c>
      <c r="L186" s="1">
        <v>111.5</v>
      </c>
      <c r="M186" s="28">
        <v>5907.32</v>
      </c>
      <c r="N186" s="39">
        <f>Data[[#This Row],[Gross Wages]]/Data[[#This Row],[No. of Hours Worked]]</f>
        <v>52.980448430493269</v>
      </c>
      <c r="P186" s="33"/>
    </row>
    <row r="187" spans="1:16" x14ac:dyDescent="0.3">
      <c r="A187" s="15" t="s">
        <v>52</v>
      </c>
      <c r="B187" s="1">
        <v>2024</v>
      </c>
      <c r="C187" s="10">
        <v>45444</v>
      </c>
      <c r="D187" s="2" t="s">
        <v>87</v>
      </c>
      <c r="E187" s="1"/>
      <c r="F187" s="1"/>
      <c r="G187" s="1"/>
      <c r="H187" s="2"/>
      <c r="I187" s="1" t="s">
        <v>0</v>
      </c>
      <c r="J187" s="1" t="s">
        <v>9</v>
      </c>
      <c r="K187" s="1">
        <v>6</v>
      </c>
      <c r="L187" s="1">
        <v>121</v>
      </c>
      <c r="M187" s="16"/>
      <c r="N187" s="39">
        <f>Data[[#This Row],[Gross Wages]]/Data[[#This Row],[No. of Hours Worked]]</f>
        <v>0</v>
      </c>
      <c r="P187" s="33"/>
    </row>
    <row r="188" spans="1:16" x14ac:dyDescent="0.3">
      <c r="A188" s="15" t="s">
        <v>144</v>
      </c>
      <c r="B188" s="1">
        <v>2024</v>
      </c>
      <c r="C188" s="10">
        <v>45444</v>
      </c>
      <c r="D188" s="34" t="s">
        <v>87</v>
      </c>
      <c r="E188" s="1" t="s">
        <v>66</v>
      </c>
      <c r="F188" s="1" t="s">
        <v>95</v>
      </c>
      <c r="G188" s="1" t="s">
        <v>68</v>
      </c>
      <c r="H188" s="2" t="s">
        <v>96</v>
      </c>
      <c r="I188" s="1" t="s">
        <v>0</v>
      </c>
      <c r="J188" s="1" t="s">
        <v>9</v>
      </c>
      <c r="K188" s="1">
        <v>3</v>
      </c>
      <c r="L188" s="1">
        <v>218</v>
      </c>
      <c r="M188" s="28">
        <v>11584.1</v>
      </c>
      <c r="N188" s="39">
        <f>Data[[#This Row],[Gross Wages]]/Data[[#This Row],[No. of Hours Worked]]</f>
        <v>53.138073394495414</v>
      </c>
      <c r="P188" s="33"/>
    </row>
    <row r="189" spans="1:16" x14ac:dyDescent="0.3">
      <c r="A189" s="15" t="s">
        <v>144</v>
      </c>
      <c r="B189" s="1">
        <v>2024</v>
      </c>
      <c r="C189" s="10">
        <v>45444</v>
      </c>
      <c r="D189" s="34" t="s">
        <v>87</v>
      </c>
      <c r="E189" s="1" t="s">
        <v>66</v>
      </c>
      <c r="F189" s="1" t="s">
        <v>145</v>
      </c>
      <c r="G189" s="1" t="s">
        <v>68</v>
      </c>
      <c r="H189" s="2" t="s">
        <v>146</v>
      </c>
      <c r="I189" s="1" t="s">
        <v>0</v>
      </c>
      <c r="J189" s="1" t="s">
        <v>9</v>
      </c>
      <c r="K189" s="1">
        <v>4</v>
      </c>
      <c r="L189" s="1">
        <v>232</v>
      </c>
      <c r="M189" s="28">
        <v>11010.22</v>
      </c>
      <c r="N189" s="39">
        <f>Data[[#This Row],[Gross Wages]]/Data[[#This Row],[No. of Hours Worked]]</f>
        <v>47.457844827586207</v>
      </c>
      <c r="P189" s="33"/>
    </row>
    <row r="190" spans="1:16" x14ac:dyDescent="0.3">
      <c r="A190" s="15" t="s">
        <v>144</v>
      </c>
      <c r="B190" s="1">
        <v>2024</v>
      </c>
      <c r="C190" s="10">
        <v>45444</v>
      </c>
      <c r="D190" s="34" t="s">
        <v>87</v>
      </c>
      <c r="E190" s="1" t="s">
        <v>66</v>
      </c>
      <c r="F190" s="1" t="s">
        <v>95</v>
      </c>
      <c r="G190" s="1" t="s">
        <v>68</v>
      </c>
      <c r="H190" s="2" t="s">
        <v>96</v>
      </c>
      <c r="I190" s="1" t="s">
        <v>3</v>
      </c>
      <c r="J190" s="1" t="s">
        <v>9</v>
      </c>
      <c r="K190" s="1">
        <v>1</v>
      </c>
      <c r="L190" s="1">
        <v>43.5</v>
      </c>
      <c r="M190" s="28">
        <v>4549.0200000000004</v>
      </c>
      <c r="N190" s="39">
        <f>Data[[#This Row],[Gross Wages]]/Data[[#This Row],[No. of Hours Worked]]</f>
        <v>104.57517241379311</v>
      </c>
      <c r="P190" s="33"/>
    </row>
    <row r="191" spans="1:16" x14ac:dyDescent="0.3">
      <c r="A191" s="15" t="s">
        <v>144</v>
      </c>
      <c r="B191" s="1">
        <v>2024</v>
      </c>
      <c r="C191" s="10">
        <v>45444</v>
      </c>
      <c r="D191" s="34" t="s">
        <v>87</v>
      </c>
      <c r="E191" s="1" t="s">
        <v>66</v>
      </c>
      <c r="F191" s="1" t="s">
        <v>145</v>
      </c>
      <c r="G191" s="1" t="s">
        <v>68</v>
      </c>
      <c r="H191" s="2" t="s">
        <v>146</v>
      </c>
      <c r="I191" s="1" t="s">
        <v>111</v>
      </c>
      <c r="J191" s="1" t="s">
        <v>9</v>
      </c>
      <c r="K191" s="1">
        <v>1</v>
      </c>
      <c r="L191" s="1">
        <v>158</v>
      </c>
      <c r="M191" s="28">
        <v>7721.6</v>
      </c>
      <c r="N191" s="39">
        <f>Data[[#This Row],[Gross Wages]]/Data[[#This Row],[No. of Hours Worked]]</f>
        <v>48.870886075949372</v>
      </c>
      <c r="P191" s="33"/>
    </row>
    <row r="192" spans="1:16" x14ac:dyDescent="0.3">
      <c r="A192" s="15" t="s">
        <v>144</v>
      </c>
      <c r="B192" s="1">
        <v>2024</v>
      </c>
      <c r="C192" s="10">
        <v>45444</v>
      </c>
      <c r="D192" s="34" t="s">
        <v>87</v>
      </c>
      <c r="E192" s="1" t="s">
        <v>66</v>
      </c>
      <c r="F192" s="1" t="s">
        <v>145</v>
      </c>
      <c r="G192" s="1" t="s">
        <v>68</v>
      </c>
      <c r="H192" s="2" t="s">
        <v>146</v>
      </c>
      <c r="I192" s="1" t="s">
        <v>1</v>
      </c>
      <c r="J192" s="1" t="s">
        <v>9</v>
      </c>
      <c r="K192" s="1">
        <v>2</v>
      </c>
      <c r="L192" s="1">
        <v>161</v>
      </c>
      <c r="M192" s="28">
        <v>7851.22</v>
      </c>
      <c r="N192" s="39">
        <f>Data[[#This Row],[Gross Wages]]/Data[[#This Row],[No. of Hours Worked]]</f>
        <v>48.765341614906831</v>
      </c>
      <c r="P192" s="33"/>
    </row>
    <row r="193" spans="1:16" x14ac:dyDescent="0.3">
      <c r="A193" s="15" t="s">
        <v>132</v>
      </c>
      <c r="B193" s="1">
        <v>2024</v>
      </c>
      <c r="C193" s="10">
        <v>45444</v>
      </c>
      <c r="D193" s="34" t="s">
        <v>87</v>
      </c>
      <c r="E193" s="1" t="s">
        <v>66</v>
      </c>
      <c r="F193" s="1" t="s">
        <v>133</v>
      </c>
      <c r="G193" s="1" t="s">
        <v>68</v>
      </c>
      <c r="H193" s="2" t="s">
        <v>134</v>
      </c>
      <c r="I193" s="1" t="s">
        <v>0</v>
      </c>
      <c r="J193" s="1" t="s">
        <v>9</v>
      </c>
      <c r="K193" s="1">
        <v>1</v>
      </c>
      <c r="L193" s="1">
        <v>2</v>
      </c>
      <c r="M193" s="28">
        <v>80.14</v>
      </c>
      <c r="N193" s="39">
        <f>Data[[#This Row],[Gross Wages]]/Data[[#This Row],[No. of Hours Worked]]</f>
        <v>40.07</v>
      </c>
      <c r="P193" s="33"/>
    </row>
    <row r="194" spans="1:16" x14ac:dyDescent="0.3">
      <c r="A194" s="15" t="s">
        <v>132</v>
      </c>
      <c r="B194" s="1">
        <v>2024</v>
      </c>
      <c r="C194" s="10">
        <v>45444</v>
      </c>
      <c r="D194" s="34" t="s">
        <v>87</v>
      </c>
      <c r="E194" s="1" t="s">
        <v>66</v>
      </c>
      <c r="F194" s="1" t="s">
        <v>125</v>
      </c>
      <c r="G194" s="1" t="s">
        <v>68</v>
      </c>
      <c r="H194" s="2" t="s">
        <v>126</v>
      </c>
      <c r="I194" s="1" t="s">
        <v>3</v>
      </c>
      <c r="J194" s="1" t="s">
        <v>9</v>
      </c>
      <c r="K194" s="1">
        <v>1</v>
      </c>
      <c r="L194" s="1">
        <v>142.5</v>
      </c>
      <c r="M194" s="28">
        <v>4821.6099999999997</v>
      </c>
      <c r="N194" s="39">
        <f>Data[[#This Row],[Gross Wages]]/Data[[#This Row],[No. of Hours Worked]]</f>
        <v>33.835859649122803</v>
      </c>
      <c r="P194" s="33"/>
    </row>
    <row r="195" spans="1:16" x14ac:dyDescent="0.3">
      <c r="A195" s="15" t="s">
        <v>132</v>
      </c>
      <c r="B195" s="1">
        <v>2024</v>
      </c>
      <c r="C195" s="10">
        <v>45444</v>
      </c>
      <c r="D195" s="34" t="s">
        <v>87</v>
      </c>
      <c r="E195" s="1" t="s">
        <v>66</v>
      </c>
      <c r="F195" s="1" t="s">
        <v>125</v>
      </c>
      <c r="G195" s="1" t="s">
        <v>68</v>
      </c>
      <c r="H195" s="2" t="s">
        <v>126</v>
      </c>
      <c r="I195" s="1" t="s">
        <v>0</v>
      </c>
      <c r="J195" s="1" t="s">
        <v>9</v>
      </c>
      <c r="K195" s="1">
        <v>6</v>
      </c>
      <c r="L195" s="1">
        <v>577.5</v>
      </c>
      <c r="M195" s="28">
        <v>18883.080000000002</v>
      </c>
      <c r="N195" s="39">
        <f>Data[[#This Row],[Gross Wages]]/Data[[#This Row],[No. of Hours Worked]]</f>
        <v>32.697974025974027</v>
      </c>
      <c r="P195" s="33"/>
    </row>
    <row r="196" spans="1:16" x14ac:dyDescent="0.3">
      <c r="A196" s="15" t="s">
        <v>40</v>
      </c>
      <c r="B196" s="1">
        <v>2024</v>
      </c>
      <c r="C196" s="10">
        <v>45474</v>
      </c>
      <c r="D196" s="2" t="s">
        <v>65</v>
      </c>
      <c r="E196" s="1"/>
      <c r="F196" s="1"/>
      <c r="G196" s="1"/>
      <c r="H196" s="2"/>
      <c r="I196" s="1" t="s">
        <v>0</v>
      </c>
      <c r="J196" s="1" t="s">
        <v>9</v>
      </c>
      <c r="K196" s="1">
        <v>2</v>
      </c>
      <c r="L196" s="1">
        <v>20</v>
      </c>
      <c r="M196" s="16"/>
      <c r="N196" s="39">
        <f>Data[[#This Row],[Gross Wages]]/Data[[#This Row],[No. of Hours Worked]]</f>
        <v>0</v>
      </c>
      <c r="P196" s="33"/>
    </row>
    <row r="197" spans="1:16" x14ac:dyDescent="0.3">
      <c r="A197" s="15" t="s">
        <v>40</v>
      </c>
      <c r="B197" s="1">
        <v>2024</v>
      </c>
      <c r="C197" s="10">
        <v>45474</v>
      </c>
      <c r="D197" s="2" t="s">
        <v>65</v>
      </c>
      <c r="E197" s="1"/>
      <c r="F197" s="1"/>
      <c r="G197" s="1"/>
      <c r="H197" s="2"/>
      <c r="I197" s="1" t="s">
        <v>0</v>
      </c>
      <c r="J197" s="1" t="s">
        <v>10</v>
      </c>
      <c r="K197" s="1">
        <v>0</v>
      </c>
      <c r="L197" s="1">
        <v>0</v>
      </c>
      <c r="M197" s="16"/>
      <c r="N197" s="39" t="e">
        <f>Data[[#This Row],[Gross Wages]]/Data[[#This Row],[No. of Hours Worked]]</f>
        <v>#DIV/0!</v>
      </c>
      <c r="P197" s="33"/>
    </row>
    <row r="198" spans="1:16" x14ac:dyDescent="0.3">
      <c r="A198" s="15" t="s">
        <v>44</v>
      </c>
      <c r="B198" s="1">
        <v>2024</v>
      </c>
      <c r="C198" s="10">
        <v>45474</v>
      </c>
      <c r="D198" s="2" t="s">
        <v>65</v>
      </c>
      <c r="E198" s="1" t="s">
        <v>80</v>
      </c>
      <c r="F198" s="1" t="s">
        <v>88</v>
      </c>
      <c r="G198" s="1" t="s">
        <v>68</v>
      </c>
      <c r="H198" s="2" t="s">
        <v>116</v>
      </c>
      <c r="I198" s="1" t="s">
        <v>0</v>
      </c>
      <c r="J198" s="1" t="s">
        <v>9</v>
      </c>
      <c r="K198" s="1">
        <v>6</v>
      </c>
      <c r="L198" s="1">
        <v>615</v>
      </c>
      <c r="M198" s="16"/>
      <c r="N198" s="39">
        <f>Data[[#This Row],[Gross Wages]]/Data[[#This Row],[No. of Hours Worked]]</f>
        <v>0</v>
      </c>
      <c r="P198" s="33"/>
    </row>
    <row r="199" spans="1:16" x14ac:dyDescent="0.3">
      <c r="A199" s="15" t="s">
        <v>44</v>
      </c>
      <c r="B199" s="1">
        <v>2024</v>
      </c>
      <c r="C199" s="10">
        <v>45474</v>
      </c>
      <c r="D199" s="2" t="s">
        <v>65</v>
      </c>
      <c r="E199" s="1" t="s">
        <v>80</v>
      </c>
      <c r="F199" s="1" t="s">
        <v>88</v>
      </c>
      <c r="G199" s="1" t="s">
        <v>68</v>
      </c>
      <c r="H199" s="2" t="s">
        <v>117</v>
      </c>
      <c r="I199" s="1" t="s">
        <v>2</v>
      </c>
      <c r="J199" s="1" t="s">
        <v>9</v>
      </c>
      <c r="K199" s="1">
        <v>1</v>
      </c>
      <c r="L199" s="1">
        <v>148</v>
      </c>
      <c r="M199" s="16"/>
      <c r="N199" s="39">
        <f>Data[[#This Row],[Gross Wages]]/Data[[#This Row],[No. of Hours Worked]]</f>
        <v>0</v>
      </c>
      <c r="P199" s="33"/>
    </row>
    <row r="200" spans="1:16" x14ac:dyDescent="0.3">
      <c r="A200" s="15" t="s">
        <v>44</v>
      </c>
      <c r="B200" s="1">
        <v>2024</v>
      </c>
      <c r="C200" s="10">
        <v>45474</v>
      </c>
      <c r="D200" s="2" t="s">
        <v>65</v>
      </c>
      <c r="E200" s="1" t="s">
        <v>80</v>
      </c>
      <c r="F200" s="1" t="s">
        <v>88</v>
      </c>
      <c r="G200" s="1" t="s">
        <v>68</v>
      </c>
      <c r="H200" s="2" t="s">
        <v>118</v>
      </c>
      <c r="I200" s="1" t="s">
        <v>0</v>
      </c>
      <c r="J200" s="1" t="s">
        <v>10</v>
      </c>
      <c r="K200" s="1">
        <v>0</v>
      </c>
      <c r="L200" s="1">
        <v>0</v>
      </c>
      <c r="M200" s="16"/>
      <c r="N200" s="39" t="e">
        <f>Data[[#This Row],[Gross Wages]]/Data[[#This Row],[No. of Hours Worked]]</f>
        <v>#DIV/0!</v>
      </c>
      <c r="P200" s="33"/>
    </row>
    <row r="201" spans="1:16" x14ac:dyDescent="0.3">
      <c r="A201" s="15" t="s">
        <v>44</v>
      </c>
      <c r="B201" s="1">
        <v>2024</v>
      </c>
      <c r="C201" s="10">
        <v>45474</v>
      </c>
      <c r="D201" s="2" t="s">
        <v>65</v>
      </c>
      <c r="E201" s="1" t="s">
        <v>80</v>
      </c>
      <c r="F201" s="1" t="s">
        <v>88</v>
      </c>
      <c r="G201" s="1" t="s">
        <v>68</v>
      </c>
      <c r="H201" s="2" t="s">
        <v>119</v>
      </c>
      <c r="I201" s="1" t="s">
        <v>2</v>
      </c>
      <c r="J201" s="1" t="s">
        <v>10</v>
      </c>
      <c r="K201" s="1">
        <v>0</v>
      </c>
      <c r="L201" s="1">
        <v>0</v>
      </c>
      <c r="M201" s="16"/>
      <c r="N201" s="39" t="e">
        <f>Data[[#This Row],[Gross Wages]]/Data[[#This Row],[No. of Hours Worked]]</f>
        <v>#DIV/0!</v>
      </c>
      <c r="P201" s="33"/>
    </row>
    <row r="202" spans="1:16" x14ac:dyDescent="0.3">
      <c r="A202" s="15" t="s">
        <v>45</v>
      </c>
      <c r="B202" s="1">
        <v>2024</v>
      </c>
      <c r="C202" s="10">
        <v>45474</v>
      </c>
      <c r="D202" s="2" t="s">
        <v>65</v>
      </c>
      <c r="E202" s="1" t="s">
        <v>66</v>
      </c>
      <c r="F202" s="1" t="s">
        <v>67</v>
      </c>
      <c r="G202" s="1" t="s">
        <v>68</v>
      </c>
      <c r="H202" s="2" t="s">
        <v>69</v>
      </c>
      <c r="I202" s="1" t="s">
        <v>0</v>
      </c>
      <c r="J202" s="1" t="s">
        <v>9</v>
      </c>
      <c r="K202" s="1">
        <v>9</v>
      </c>
      <c r="L202" s="1">
        <v>878</v>
      </c>
      <c r="M202" s="28">
        <v>38438.400000000001</v>
      </c>
      <c r="N202" s="39">
        <f>Data[[#This Row],[Gross Wages]]/Data[[#This Row],[No. of Hours Worked]]</f>
        <v>43.779498861047834</v>
      </c>
      <c r="P202" s="33"/>
    </row>
    <row r="203" spans="1:16" x14ac:dyDescent="0.3">
      <c r="A203" s="15" t="s">
        <v>124</v>
      </c>
      <c r="B203" s="1">
        <v>2024</v>
      </c>
      <c r="C203" s="10">
        <v>45474</v>
      </c>
      <c r="D203" s="34" t="s">
        <v>65</v>
      </c>
      <c r="E203" s="1" t="s">
        <v>66</v>
      </c>
      <c r="F203" s="1" t="s">
        <v>125</v>
      </c>
      <c r="G203" s="1" t="s">
        <v>68</v>
      </c>
      <c r="H203" s="2" t="s">
        <v>126</v>
      </c>
      <c r="I203" s="1" t="s">
        <v>0</v>
      </c>
      <c r="J203" s="1" t="s">
        <v>9</v>
      </c>
      <c r="K203" s="1">
        <v>2</v>
      </c>
      <c r="L203" s="1">
        <v>8</v>
      </c>
      <c r="M203" s="28">
        <v>430.32</v>
      </c>
      <c r="N203" s="39">
        <f>Data[[#This Row],[Gross Wages]]/Data[[#This Row],[No. of Hours Worked]]</f>
        <v>53.79</v>
      </c>
      <c r="P203" s="33"/>
    </row>
    <row r="204" spans="1:16" x14ac:dyDescent="0.3">
      <c r="A204" s="15" t="s">
        <v>46</v>
      </c>
      <c r="B204" s="1">
        <v>2024</v>
      </c>
      <c r="C204" s="10">
        <v>45474</v>
      </c>
      <c r="D204" s="2" t="s">
        <v>65</v>
      </c>
      <c r="E204" s="1"/>
      <c r="F204" s="1"/>
      <c r="G204" s="1"/>
      <c r="H204" s="2"/>
      <c r="I204" s="1" t="s">
        <v>0</v>
      </c>
      <c r="J204" s="1" t="s">
        <v>9</v>
      </c>
      <c r="K204" s="1">
        <v>1</v>
      </c>
      <c r="L204" s="1">
        <v>27.5</v>
      </c>
      <c r="M204" s="16"/>
      <c r="N204" s="39">
        <f>Data[[#This Row],[Gross Wages]]/Data[[#This Row],[No. of Hours Worked]]</f>
        <v>0</v>
      </c>
      <c r="P204" s="33"/>
    </row>
    <row r="205" spans="1:16" x14ac:dyDescent="0.3">
      <c r="A205" s="15" t="s">
        <v>46</v>
      </c>
      <c r="B205" s="1">
        <v>2024</v>
      </c>
      <c r="C205" s="10">
        <v>45474</v>
      </c>
      <c r="D205" s="2" t="s">
        <v>65</v>
      </c>
      <c r="E205" s="1"/>
      <c r="F205" s="1"/>
      <c r="G205" s="1"/>
      <c r="H205" s="2"/>
      <c r="I205" s="1" t="s">
        <v>0</v>
      </c>
      <c r="J205" s="1" t="s">
        <v>10</v>
      </c>
      <c r="K205" s="1">
        <v>0</v>
      </c>
      <c r="L205" s="1">
        <v>0</v>
      </c>
      <c r="M205" s="16"/>
      <c r="N205" s="39" t="e">
        <f>Data[[#This Row],[Gross Wages]]/Data[[#This Row],[No. of Hours Worked]]</f>
        <v>#DIV/0!</v>
      </c>
      <c r="P205" s="33"/>
    </row>
    <row r="206" spans="1:16" x14ac:dyDescent="0.3">
      <c r="A206" s="15" t="s">
        <v>127</v>
      </c>
      <c r="B206" s="1">
        <v>2024</v>
      </c>
      <c r="C206" s="10">
        <v>45474</v>
      </c>
      <c r="D206" s="34" t="s">
        <v>65</v>
      </c>
      <c r="E206" s="1" t="s">
        <v>66</v>
      </c>
      <c r="F206" s="1" t="s">
        <v>93</v>
      </c>
      <c r="G206" s="1" t="s">
        <v>68</v>
      </c>
      <c r="H206" s="2" t="s">
        <v>94</v>
      </c>
      <c r="I206" s="1" t="s">
        <v>0</v>
      </c>
      <c r="J206" s="1" t="s">
        <v>9</v>
      </c>
      <c r="K206" s="1">
        <v>2</v>
      </c>
      <c r="L206" s="1">
        <v>16</v>
      </c>
      <c r="M206" s="28">
        <v>538.88</v>
      </c>
      <c r="N206" s="39">
        <f>Data[[#This Row],[Gross Wages]]/Data[[#This Row],[No. of Hours Worked]]</f>
        <v>33.68</v>
      </c>
      <c r="P206" s="33"/>
    </row>
    <row r="207" spans="1:16" x14ac:dyDescent="0.3">
      <c r="A207" s="15" t="s">
        <v>140</v>
      </c>
      <c r="B207" s="1">
        <v>2024</v>
      </c>
      <c r="C207" s="10">
        <v>45474</v>
      </c>
      <c r="D207" s="34" t="s">
        <v>65</v>
      </c>
      <c r="E207" s="1" t="s">
        <v>66</v>
      </c>
      <c r="F207" s="1" t="s">
        <v>70</v>
      </c>
      <c r="G207" s="1" t="s">
        <v>68</v>
      </c>
      <c r="H207" s="2" t="s">
        <v>71</v>
      </c>
      <c r="I207" s="1" t="s">
        <v>0</v>
      </c>
      <c r="J207" s="1" t="s">
        <v>9</v>
      </c>
      <c r="K207" s="1">
        <v>5</v>
      </c>
      <c r="L207" s="1">
        <v>529</v>
      </c>
      <c r="M207" s="28">
        <v>15379.03</v>
      </c>
      <c r="N207" s="39">
        <f>Data[[#This Row],[Gross Wages]]/Data[[#This Row],[No. of Hours Worked]]</f>
        <v>29.071890359168243</v>
      </c>
      <c r="P207" s="33"/>
    </row>
    <row r="208" spans="1:16" x14ac:dyDescent="0.3">
      <c r="A208" s="15" t="s">
        <v>128</v>
      </c>
      <c r="B208" s="1">
        <v>2024</v>
      </c>
      <c r="C208" s="10">
        <v>45474</v>
      </c>
      <c r="D208" s="34" t="s">
        <v>65</v>
      </c>
      <c r="E208" s="1" t="s">
        <v>66</v>
      </c>
      <c r="F208" s="1" t="s">
        <v>97</v>
      </c>
      <c r="G208" s="1" t="s">
        <v>68</v>
      </c>
      <c r="H208" s="2" t="s">
        <v>98</v>
      </c>
      <c r="I208" s="1" t="s">
        <v>0</v>
      </c>
      <c r="J208" s="1" t="s">
        <v>9</v>
      </c>
      <c r="K208" s="1">
        <v>14</v>
      </c>
      <c r="L208" s="1">
        <v>956.5</v>
      </c>
      <c r="M208" s="28">
        <v>33308.85</v>
      </c>
      <c r="N208" s="39">
        <f>Data[[#This Row],[Gross Wages]]/Data[[#This Row],[No. of Hours Worked]]</f>
        <v>34.823680083638266</v>
      </c>
      <c r="P208" s="33"/>
    </row>
    <row r="209" spans="1:16" x14ac:dyDescent="0.3">
      <c r="A209" s="15" t="s">
        <v>144</v>
      </c>
      <c r="B209" s="1">
        <v>2024</v>
      </c>
      <c r="C209" s="10">
        <v>45474</v>
      </c>
      <c r="D209" s="34" t="s">
        <v>65</v>
      </c>
      <c r="E209" s="1" t="s">
        <v>66</v>
      </c>
      <c r="F209" s="1" t="s">
        <v>95</v>
      </c>
      <c r="G209" s="1" t="s">
        <v>68</v>
      </c>
      <c r="H209" s="2" t="s">
        <v>96</v>
      </c>
      <c r="I209" s="1" t="s">
        <v>0</v>
      </c>
      <c r="J209" s="1" t="s">
        <v>9</v>
      </c>
      <c r="K209" s="1">
        <v>3</v>
      </c>
      <c r="L209" s="1">
        <v>164.5</v>
      </c>
      <c r="M209" s="28">
        <v>8648.14</v>
      </c>
      <c r="N209" s="39">
        <f>Data[[#This Row],[Gross Wages]]/Data[[#This Row],[No. of Hours Worked]]</f>
        <v>52.572279635258354</v>
      </c>
      <c r="P209" s="33"/>
    </row>
    <row r="210" spans="1:16" x14ac:dyDescent="0.3">
      <c r="A210" s="15" t="s">
        <v>144</v>
      </c>
      <c r="B210" s="1">
        <v>2024</v>
      </c>
      <c r="C210" s="10">
        <v>45474</v>
      </c>
      <c r="D210" s="34" t="s">
        <v>65</v>
      </c>
      <c r="E210" s="1" t="s">
        <v>66</v>
      </c>
      <c r="F210" s="1" t="s">
        <v>95</v>
      </c>
      <c r="G210" s="1" t="s">
        <v>68</v>
      </c>
      <c r="H210" s="2" t="s">
        <v>96</v>
      </c>
      <c r="I210" s="1" t="s">
        <v>3</v>
      </c>
      <c r="J210" s="1" t="s">
        <v>9</v>
      </c>
      <c r="K210" s="1">
        <v>2</v>
      </c>
      <c r="L210" s="1">
        <v>21.5</v>
      </c>
      <c r="M210" s="28">
        <v>1888.72</v>
      </c>
      <c r="N210" s="39">
        <f>Data[[#This Row],[Gross Wages]]/Data[[#This Row],[No. of Hours Worked]]</f>
        <v>87.847441860465111</v>
      </c>
      <c r="P210" s="33"/>
    </row>
    <row r="211" spans="1:16" x14ac:dyDescent="0.3">
      <c r="A211" s="15" t="s">
        <v>144</v>
      </c>
      <c r="B211" s="1">
        <v>2024</v>
      </c>
      <c r="C211" s="10">
        <v>45474</v>
      </c>
      <c r="D211" s="34" t="s">
        <v>65</v>
      </c>
      <c r="E211" s="1" t="s">
        <v>66</v>
      </c>
      <c r="F211" s="1" t="s">
        <v>145</v>
      </c>
      <c r="G211" s="1" t="s">
        <v>68</v>
      </c>
      <c r="H211" s="2" t="s">
        <v>146</v>
      </c>
      <c r="I211" s="1" t="s">
        <v>111</v>
      </c>
      <c r="J211" s="1" t="s">
        <v>9</v>
      </c>
      <c r="K211" s="1">
        <v>2</v>
      </c>
      <c r="L211" s="1">
        <v>192</v>
      </c>
      <c r="M211" s="28">
        <v>9454.4</v>
      </c>
      <c r="N211" s="39">
        <f>Data[[#This Row],[Gross Wages]]/Data[[#This Row],[No. of Hours Worked]]</f>
        <v>49.241666666666667</v>
      </c>
      <c r="P211" s="33"/>
    </row>
    <row r="212" spans="1:16" x14ac:dyDescent="0.3">
      <c r="A212" s="15" t="s">
        <v>144</v>
      </c>
      <c r="B212" s="1">
        <v>2024</v>
      </c>
      <c r="C212" s="10">
        <v>45474</v>
      </c>
      <c r="D212" s="34" t="s">
        <v>65</v>
      </c>
      <c r="E212" s="1" t="s">
        <v>66</v>
      </c>
      <c r="F212" s="1" t="s">
        <v>145</v>
      </c>
      <c r="G212" s="1" t="s">
        <v>68</v>
      </c>
      <c r="H212" s="2" t="s">
        <v>146</v>
      </c>
      <c r="I212" s="1" t="s">
        <v>1</v>
      </c>
      <c r="J212" s="1" t="s">
        <v>9</v>
      </c>
      <c r="K212" s="1">
        <v>2</v>
      </c>
      <c r="L212" s="1">
        <v>224</v>
      </c>
      <c r="M212" s="28">
        <v>9425.6</v>
      </c>
      <c r="N212" s="39">
        <f>Data[[#This Row],[Gross Wages]]/Data[[#This Row],[No. of Hours Worked]]</f>
        <v>42.078571428571429</v>
      </c>
      <c r="P212" s="33"/>
    </row>
    <row r="213" spans="1:16" x14ac:dyDescent="0.3">
      <c r="A213" s="15" t="s">
        <v>132</v>
      </c>
      <c r="B213" s="1">
        <v>2024</v>
      </c>
      <c r="C213" s="10">
        <v>45474</v>
      </c>
      <c r="D213" s="34" t="s">
        <v>65</v>
      </c>
      <c r="E213" s="1" t="s">
        <v>66</v>
      </c>
      <c r="F213" s="1" t="s">
        <v>125</v>
      </c>
      <c r="G213" s="1" t="s">
        <v>68</v>
      </c>
      <c r="H213" s="2" t="s">
        <v>126</v>
      </c>
      <c r="I213" s="1" t="s">
        <v>3</v>
      </c>
      <c r="J213" s="1" t="s">
        <v>9</v>
      </c>
      <c r="K213" s="1">
        <v>1</v>
      </c>
      <c r="L213" s="1">
        <v>5</v>
      </c>
      <c r="M213" s="28">
        <v>153</v>
      </c>
      <c r="N213" s="39">
        <f>Data[[#This Row],[Gross Wages]]/Data[[#This Row],[No. of Hours Worked]]</f>
        <v>30.6</v>
      </c>
      <c r="P213" s="33"/>
    </row>
    <row r="214" spans="1:16" x14ac:dyDescent="0.3">
      <c r="A214" s="15" t="s">
        <v>132</v>
      </c>
      <c r="B214" s="1">
        <v>2024</v>
      </c>
      <c r="C214" s="10">
        <v>45474</v>
      </c>
      <c r="D214" s="34" t="s">
        <v>65</v>
      </c>
      <c r="E214" s="1" t="s">
        <v>66</v>
      </c>
      <c r="F214" s="1" t="s">
        <v>125</v>
      </c>
      <c r="G214" s="1" t="s">
        <v>68</v>
      </c>
      <c r="H214" s="2" t="s">
        <v>126</v>
      </c>
      <c r="I214" s="1" t="s">
        <v>2</v>
      </c>
      <c r="J214" s="1" t="s">
        <v>9</v>
      </c>
      <c r="K214" s="1">
        <v>1</v>
      </c>
      <c r="L214" s="1">
        <v>5.5</v>
      </c>
      <c r="M214" s="28">
        <v>168.3</v>
      </c>
      <c r="N214" s="39">
        <f>Data[[#This Row],[Gross Wages]]/Data[[#This Row],[No. of Hours Worked]]</f>
        <v>30.6</v>
      </c>
      <c r="P214" s="33"/>
    </row>
    <row r="215" spans="1:16" x14ac:dyDescent="0.3">
      <c r="A215" s="15" t="s">
        <v>132</v>
      </c>
      <c r="B215" s="1">
        <v>2024</v>
      </c>
      <c r="C215" s="10">
        <v>45474</v>
      </c>
      <c r="D215" s="34" t="s">
        <v>65</v>
      </c>
      <c r="E215" s="1" t="s">
        <v>66</v>
      </c>
      <c r="F215" s="1" t="s">
        <v>133</v>
      </c>
      <c r="G215" s="1" t="s">
        <v>68</v>
      </c>
      <c r="H215" s="2" t="s">
        <v>134</v>
      </c>
      <c r="I215" s="1" t="s">
        <v>0</v>
      </c>
      <c r="J215" s="1" t="s">
        <v>9</v>
      </c>
      <c r="K215" s="1">
        <v>2</v>
      </c>
      <c r="L215" s="1">
        <v>12</v>
      </c>
      <c r="M215" s="28">
        <v>489</v>
      </c>
      <c r="N215" s="39">
        <f>Data[[#This Row],[Gross Wages]]/Data[[#This Row],[No. of Hours Worked]]</f>
        <v>40.75</v>
      </c>
      <c r="P215" s="33"/>
    </row>
    <row r="216" spans="1:16" x14ac:dyDescent="0.3">
      <c r="A216" s="15" t="s">
        <v>132</v>
      </c>
      <c r="B216" s="1">
        <v>2024</v>
      </c>
      <c r="C216" s="10">
        <v>45474</v>
      </c>
      <c r="D216" s="34" t="s">
        <v>65</v>
      </c>
      <c r="E216" s="1" t="s">
        <v>66</v>
      </c>
      <c r="F216" s="1" t="s">
        <v>125</v>
      </c>
      <c r="G216" s="1" t="s">
        <v>68</v>
      </c>
      <c r="H216" s="2" t="s">
        <v>126</v>
      </c>
      <c r="I216" s="1" t="s">
        <v>0</v>
      </c>
      <c r="J216" s="1" t="s">
        <v>9</v>
      </c>
      <c r="K216" s="1">
        <v>9</v>
      </c>
      <c r="L216" s="1">
        <v>236.5</v>
      </c>
      <c r="M216" s="28">
        <v>7975.01</v>
      </c>
      <c r="N216" s="39">
        <f>Data[[#This Row],[Gross Wages]]/Data[[#This Row],[No. of Hours Worked]]</f>
        <v>33.720972515856239</v>
      </c>
      <c r="P216" s="33"/>
    </row>
    <row r="217" spans="1:16" x14ac:dyDescent="0.3">
      <c r="A217" s="15" t="s">
        <v>43</v>
      </c>
      <c r="B217" s="1">
        <v>2024</v>
      </c>
      <c r="C217" s="10">
        <v>45505</v>
      </c>
      <c r="D217" s="2" t="s">
        <v>65</v>
      </c>
      <c r="E217" s="1" t="s">
        <v>80</v>
      </c>
      <c r="F217" s="1" t="s">
        <v>88</v>
      </c>
      <c r="G217" s="1" t="s">
        <v>68</v>
      </c>
      <c r="H217" s="2" t="s">
        <v>89</v>
      </c>
      <c r="I217" s="1" t="s">
        <v>0</v>
      </c>
      <c r="J217" s="1" t="s">
        <v>9</v>
      </c>
      <c r="K217" s="1">
        <v>5</v>
      </c>
      <c r="L217" s="1">
        <v>838</v>
      </c>
      <c r="M217" s="16">
        <v>33823.58</v>
      </c>
      <c r="N217" s="39">
        <f>Data[[#This Row],[Gross Wages]]/Data[[#This Row],[No. of Hours Worked]]</f>
        <v>40.362267303102627</v>
      </c>
      <c r="P217" s="33"/>
    </row>
    <row r="218" spans="1:16" x14ac:dyDescent="0.3">
      <c r="A218" s="15" t="s">
        <v>43</v>
      </c>
      <c r="B218" s="1">
        <v>2024</v>
      </c>
      <c r="C218" s="10">
        <v>45505</v>
      </c>
      <c r="D218" s="2" t="s">
        <v>65</v>
      </c>
      <c r="E218" s="1" t="s">
        <v>80</v>
      </c>
      <c r="F218" s="1" t="s">
        <v>88</v>
      </c>
      <c r="G218" s="1" t="s">
        <v>68</v>
      </c>
      <c r="H218" s="2" t="s">
        <v>89</v>
      </c>
      <c r="I218" s="1" t="s">
        <v>0</v>
      </c>
      <c r="J218" s="1" t="s">
        <v>10</v>
      </c>
      <c r="K218" s="1">
        <v>0</v>
      </c>
      <c r="L218" s="1">
        <v>0</v>
      </c>
      <c r="M218" s="16"/>
      <c r="N218" s="39" t="e">
        <f>Data[[#This Row],[Gross Wages]]/Data[[#This Row],[No. of Hours Worked]]</f>
        <v>#DIV/0!</v>
      </c>
      <c r="P218" s="33"/>
    </row>
    <row r="219" spans="1:16" x14ac:dyDescent="0.3">
      <c r="A219" s="15" t="s">
        <v>127</v>
      </c>
      <c r="B219" s="1">
        <v>2024</v>
      </c>
      <c r="C219" s="10">
        <v>45505</v>
      </c>
      <c r="D219" s="34" t="s">
        <v>65</v>
      </c>
      <c r="E219" s="1" t="s">
        <v>66</v>
      </c>
      <c r="F219" s="1" t="s">
        <v>93</v>
      </c>
      <c r="G219" s="1" t="s">
        <v>68</v>
      </c>
      <c r="H219" s="2" t="s">
        <v>94</v>
      </c>
      <c r="I219" s="1" t="s">
        <v>0</v>
      </c>
      <c r="J219" s="1" t="s">
        <v>9</v>
      </c>
      <c r="K219" s="1">
        <v>2</v>
      </c>
      <c r="L219" s="1">
        <v>230</v>
      </c>
      <c r="M219" s="28">
        <v>7746.4</v>
      </c>
      <c r="N219" s="39">
        <f>Data[[#This Row],[Gross Wages]]/Data[[#This Row],[No. of Hours Worked]]</f>
        <v>33.68</v>
      </c>
      <c r="P219" s="33"/>
    </row>
    <row r="220" spans="1:16" x14ac:dyDescent="0.3">
      <c r="A220" s="15" t="s">
        <v>140</v>
      </c>
      <c r="B220" s="1">
        <v>2024</v>
      </c>
      <c r="C220" s="10">
        <v>45505</v>
      </c>
      <c r="D220" s="34" t="s">
        <v>65</v>
      </c>
      <c r="E220" s="1" t="s">
        <v>66</v>
      </c>
      <c r="F220" s="1" t="s">
        <v>70</v>
      </c>
      <c r="G220" s="1" t="s">
        <v>68</v>
      </c>
      <c r="H220" s="2" t="s">
        <v>71</v>
      </c>
      <c r="I220" s="1" t="s">
        <v>0</v>
      </c>
      <c r="J220" s="1" t="s">
        <v>9</v>
      </c>
      <c r="K220" s="1">
        <v>4</v>
      </c>
      <c r="L220" s="1">
        <v>159</v>
      </c>
      <c r="M220" s="28">
        <v>4333.1400000000003</v>
      </c>
      <c r="N220" s="39">
        <f>Data[[#This Row],[Gross Wages]]/Data[[#This Row],[No. of Hours Worked]]</f>
        <v>27.25245283018868</v>
      </c>
      <c r="P220" s="33"/>
    </row>
    <row r="221" spans="1:16" x14ac:dyDescent="0.3">
      <c r="A221" s="15" t="s">
        <v>128</v>
      </c>
      <c r="B221" s="1">
        <v>2024</v>
      </c>
      <c r="C221" s="10">
        <v>45505</v>
      </c>
      <c r="D221" s="34" t="s">
        <v>65</v>
      </c>
      <c r="E221" s="1" t="s">
        <v>66</v>
      </c>
      <c r="F221" s="1" t="s">
        <v>97</v>
      </c>
      <c r="G221" s="1" t="s">
        <v>68</v>
      </c>
      <c r="H221" s="2" t="s">
        <v>98</v>
      </c>
      <c r="I221" s="1" t="s">
        <v>0</v>
      </c>
      <c r="J221" s="1" t="s">
        <v>9</v>
      </c>
      <c r="K221" s="1">
        <v>14</v>
      </c>
      <c r="L221" s="1">
        <v>1214.5</v>
      </c>
      <c r="M221" s="28">
        <v>44094.43</v>
      </c>
      <c r="N221" s="39">
        <f>Data[[#This Row],[Gross Wages]]/Data[[#This Row],[No. of Hours Worked]]</f>
        <v>36.306652943598188</v>
      </c>
      <c r="P221" s="33"/>
    </row>
    <row r="222" spans="1:16" x14ac:dyDescent="0.3">
      <c r="A222" s="15" t="s">
        <v>48</v>
      </c>
      <c r="B222" s="1">
        <v>2024</v>
      </c>
      <c r="C222" s="10">
        <v>45505</v>
      </c>
      <c r="D222" s="2" t="s">
        <v>65</v>
      </c>
      <c r="E222" s="1" t="s">
        <v>66</v>
      </c>
      <c r="F222" s="1" t="s">
        <v>84</v>
      </c>
      <c r="G222" s="1" t="s">
        <v>68</v>
      </c>
      <c r="H222" s="2" t="s">
        <v>85</v>
      </c>
      <c r="I222" s="1" t="s">
        <v>0</v>
      </c>
      <c r="J222" s="1" t="s">
        <v>9</v>
      </c>
      <c r="K222" s="1">
        <v>7</v>
      </c>
      <c r="L222" s="1">
        <v>706</v>
      </c>
      <c r="M222" s="28">
        <v>29056.13</v>
      </c>
      <c r="N222" s="39">
        <f>Data[[#This Row],[Gross Wages]]/Data[[#This Row],[No. of Hours Worked]]</f>
        <v>41.15599150141643</v>
      </c>
      <c r="P222" s="33"/>
    </row>
    <row r="223" spans="1:16" x14ac:dyDescent="0.3">
      <c r="A223" s="15" t="s">
        <v>49</v>
      </c>
      <c r="B223" s="1">
        <v>2024</v>
      </c>
      <c r="C223" s="10">
        <v>45505</v>
      </c>
      <c r="D223" s="2" t="s">
        <v>65</v>
      </c>
      <c r="E223" s="1" t="s">
        <v>66</v>
      </c>
      <c r="F223" s="1" t="s">
        <v>67</v>
      </c>
      <c r="G223" s="1" t="s">
        <v>68</v>
      </c>
      <c r="H223" s="2" t="s">
        <v>69</v>
      </c>
      <c r="I223" s="1" t="s">
        <v>0</v>
      </c>
      <c r="J223" s="1" t="s">
        <v>9</v>
      </c>
      <c r="K223" s="1">
        <v>8</v>
      </c>
      <c r="L223" s="1">
        <v>948.5</v>
      </c>
      <c r="M223" s="16">
        <v>68443.759999999995</v>
      </c>
      <c r="N223" s="39">
        <f>Data[[#This Row],[Gross Wages]]/Data[[#This Row],[No. of Hours Worked]]</f>
        <v>72.16</v>
      </c>
      <c r="P223" s="33"/>
    </row>
    <row r="224" spans="1:16" x14ac:dyDescent="0.3">
      <c r="A224" s="15" t="s">
        <v>49</v>
      </c>
      <c r="B224" s="1">
        <v>2024</v>
      </c>
      <c r="C224" s="10">
        <v>45505</v>
      </c>
      <c r="D224" s="2" t="s">
        <v>65</v>
      </c>
      <c r="E224" s="1" t="s">
        <v>66</v>
      </c>
      <c r="F224" s="1" t="s">
        <v>67</v>
      </c>
      <c r="G224" s="1" t="s">
        <v>68</v>
      </c>
      <c r="H224" s="2" t="s">
        <v>69</v>
      </c>
      <c r="I224" s="1" t="s">
        <v>0</v>
      </c>
      <c r="J224" s="1" t="s">
        <v>10</v>
      </c>
      <c r="K224" s="1">
        <v>0</v>
      </c>
      <c r="L224" s="1">
        <v>0</v>
      </c>
      <c r="M224" s="16"/>
      <c r="N224" s="39" t="e">
        <f>Data[[#This Row],[Gross Wages]]/Data[[#This Row],[No. of Hours Worked]]</f>
        <v>#DIV/0!</v>
      </c>
      <c r="P224" s="33"/>
    </row>
    <row r="225" spans="1:16" x14ac:dyDescent="0.3">
      <c r="A225" s="15" t="s">
        <v>52</v>
      </c>
      <c r="B225" s="1">
        <v>2024</v>
      </c>
      <c r="C225" s="10">
        <v>45505</v>
      </c>
      <c r="D225" s="2" t="s">
        <v>65</v>
      </c>
      <c r="E225" s="1" t="s">
        <v>66</v>
      </c>
      <c r="F225" s="1" t="s">
        <v>90</v>
      </c>
      <c r="G225" s="1" t="s">
        <v>68</v>
      </c>
      <c r="H225" s="2" t="s">
        <v>69</v>
      </c>
      <c r="I225" s="1" t="s">
        <v>0</v>
      </c>
      <c r="J225" s="1" t="s">
        <v>9</v>
      </c>
      <c r="K225" s="1">
        <v>4</v>
      </c>
      <c r="L225" s="1">
        <v>104</v>
      </c>
      <c r="M225" s="16">
        <v>6233.01</v>
      </c>
      <c r="N225" s="39">
        <f>Data[[#This Row],[Gross Wages]]/Data[[#This Row],[No. of Hours Worked]]</f>
        <v>59.932788461538465</v>
      </c>
      <c r="P225" s="33"/>
    </row>
    <row r="226" spans="1:16" x14ac:dyDescent="0.3">
      <c r="A226" s="15" t="s">
        <v>52</v>
      </c>
      <c r="B226" s="1">
        <v>2024</v>
      </c>
      <c r="C226" s="10">
        <v>45505</v>
      </c>
      <c r="D226" s="2" t="s">
        <v>65</v>
      </c>
      <c r="E226" s="1" t="s">
        <v>66</v>
      </c>
      <c r="F226" s="1" t="s">
        <v>90</v>
      </c>
      <c r="G226" s="1" t="s">
        <v>68</v>
      </c>
      <c r="H226" s="2" t="s">
        <v>69</v>
      </c>
      <c r="I226" s="1" t="s">
        <v>0</v>
      </c>
      <c r="J226" s="1" t="s">
        <v>10</v>
      </c>
      <c r="K226" s="1">
        <v>0</v>
      </c>
      <c r="L226" s="1">
        <v>0</v>
      </c>
      <c r="M226" s="16"/>
      <c r="N226" s="39" t="e">
        <f>Data[[#This Row],[Gross Wages]]/Data[[#This Row],[No. of Hours Worked]]</f>
        <v>#DIV/0!</v>
      </c>
      <c r="P226" s="33"/>
    </row>
    <row r="227" spans="1:16" x14ac:dyDescent="0.3">
      <c r="A227" s="15" t="s">
        <v>144</v>
      </c>
      <c r="B227" s="1">
        <v>2024</v>
      </c>
      <c r="C227" s="10">
        <v>45505</v>
      </c>
      <c r="D227" s="34" t="s">
        <v>65</v>
      </c>
      <c r="E227" s="1" t="s">
        <v>66</v>
      </c>
      <c r="F227" s="1" t="s">
        <v>95</v>
      </c>
      <c r="G227" s="1" t="s">
        <v>68</v>
      </c>
      <c r="H227" s="2" t="s">
        <v>96</v>
      </c>
      <c r="I227" s="1" t="s">
        <v>0</v>
      </c>
      <c r="J227" s="1" t="s">
        <v>9</v>
      </c>
      <c r="K227" s="1">
        <v>3</v>
      </c>
      <c r="L227" s="1">
        <v>223</v>
      </c>
      <c r="M227" s="28">
        <v>11765.66</v>
      </c>
      <c r="N227" s="39">
        <f>Data[[#This Row],[Gross Wages]]/Data[[#This Row],[No. of Hours Worked]]</f>
        <v>52.760807174887894</v>
      </c>
      <c r="P227" s="33"/>
    </row>
    <row r="228" spans="1:16" x14ac:dyDescent="0.3">
      <c r="A228" s="15" t="s">
        <v>144</v>
      </c>
      <c r="B228" s="1">
        <v>2024</v>
      </c>
      <c r="C228" s="10">
        <v>45505</v>
      </c>
      <c r="D228" s="34" t="s">
        <v>65</v>
      </c>
      <c r="E228" s="1" t="s">
        <v>66</v>
      </c>
      <c r="F228" s="1" t="s">
        <v>145</v>
      </c>
      <c r="G228" s="1" t="s">
        <v>68</v>
      </c>
      <c r="H228" s="2" t="s">
        <v>146</v>
      </c>
      <c r="I228" s="1" t="s">
        <v>0</v>
      </c>
      <c r="J228" s="1" t="s">
        <v>9</v>
      </c>
      <c r="K228" s="1">
        <v>2</v>
      </c>
      <c r="L228" s="1">
        <v>212.5</v>
      </c>
      <c r="M228" s="28">
        <v>10735</v>
      </c>
      <c r="N228" s="39">
        <f>Data[[#This Row],[Gross Wages]]/Data[[#This Row],[No. of Hours Worked]]</f>
        <v>50.517647058823528</v>
      </c>
      <c r="P228" s="33"/>
    </row>
    <row r="229" spans="1:16" x14ac:dyDescent="0.3">
      <c r="A229" s="15" t="s">
        <v>144</v>
      </c>
      <c r="B229" s="1">
        <v>2024</v>
      </c>
      <c r="C229" s="10">
        <v>45505</v>
      </c>
      <c r="D229" s="34" t="s">
        <v>65</v>
      </c>
      <c r="E229" s="1" t="s">
        <v>66</v>
      </c>
      <c r="F229" s="1" t="s">
        <v>95</v>
      </c>
      <c r="G229" s="1" t="s">
        <v>68</v>
      </c>
      <c r="H229" s="2" t="s">
        <v>96</v>
      </c>
      <c r="I229" s="1" t="s">
        <v>3</v>
      </c>
      <c r="J229" s="1" t="s">
        <v>9</v>
      </c>
      <c r="K229" s="1">
        <v>1</v>
      </c>
      <c r="L229" s="1">
        <v>39.5</v>
      </c>
      <c r="M229" s="28">
        <v>3950</v>
      </c>
      <c r="N229" s="39">
        <f>Data[[#This Row],[Gross Wages]]/Data[[#This Row],[No. of Hours Worked]]</f>
        <v>100</v>
      </c>
      <c r="P229" s="33"/>
    </row>
    <row r="230" spans="1:16" x14ac:dyDescent="0.3">
      <c r="A230" s="15" t="s">
        <v>144</v>
      </c>
      <c r="B230" s="1">
        <v>2024</v>
      </c>
      <c r="C230" s="10">
        <v>45505</v>
      </c>
      <c r="D230" s="34" t="s">
        <v>65</v>
      </c>
      <c r="E230" s="1" t="s">
        <v>66</v>
      </c>
      <c r="F230" s="1" t="s">
        <v>145</v>
      </c>
      <c r="G230" s="1" t="s">
        <v>68</v>
      </c>
      <c r="H230" s="2" t="s">
        <v>146</v>
      </c>
      <c r="I230" s="1" t="s">
        <v>111</v>
      </c>
      <c r="J230" s="1" t="s">
        <v>9</v>
      </c>
      <c r="K230" s="1">
        <v>2</v>
      </c>
      <c r="L230" s="1">
        <v>272</v>
      </c>
      <c r="M230" s="28">
        <v>13432.8</v>
      </c>
      <c r="N230" s="39">
        <f>Data[[#This Row],[Gross Wages]]/Data[[#This Row],[No. of Hours Worked]]</f>
        <v>49.385294117647057</v>
      </c>
      <c r="P230" s="33"/>
    </row>
    <row r="231" spans="1:16" x14ac:dyDescent="0.3">
      <c r="A231" s="15" t="s">
        <v>144</v>
      </c>
      <c r="B231" s="1">
        <v>2024</v>
      </c>
      <c r="C231" s="10">
        <v>45505</v>
      </c>
      <c r="D231" s="34" t="s">
        <v>65</v>
      </c>
      <c r="E231" s="1" t="s">
        <v>66</v>
      </c>
      <c r="F231" s="1" t="s">
        <v>145</v>
      </c>
      <c r="G231" s="1" t="s">
        <v>68</v>
      </c>
      <c r="H231" s="2" t="s">
        <v>146</v>
      </c>
      <c r="I231" s="1" t="s">
        <v>1</v>
      </c>
      <c r="J231" s="1" t="s">
        <v>9</v>
      </c>
      <c r="K231" s="1">
        <v>2</v>
      </c>
      <c r="L231" s="1">
        <v>168</v>
      </c>
      <c r="M231" s="28">
        <v>7842.4</v>
      </c>
      <c r="N231" s="39">
        <f>Data[[#This Row],[Gross Wages]]/Data[[#This Row],[No. of Hours Worked]]</f>
        <v>46.680952380952377</v>
      </c>
      <c r="P231" s="33"/>
    </row>
    <row r="232" spans="1:16" x14ac:dyDescent="0.3">
      <c r="A232" s="15" t="s">
        <v>132</v>
      </c>
      <c r="B232" s="1">
        <v>2024</v>
      </c>
      <c r="C232" s="10">
        <v>45505</v>
      </c>
      <c r="D232" s="34" t="s">
        <v>65</v>
      </c>
      <c r="E232" s="1" t="s">
        <v>66</v>
      </c>
      <c r="F232" s="1" t="s">
        <v>125</v>
      </c>
      <c r="G232" s="1" t="s">
        <v>68</v>
      </c>
      <c r="H232" s="2" t="s">
        <v>126</v>
      </c>
      <c r="I232" s="1" t="s">
        <v>0</v>
      </c>
      <c r="J232" s="1" t="s">
        <v>9</v>
      </c>
      <c r="K232" s="1">
        <v>11</v>
      </c>
      <c r="L232" s="1">
        <v>627</v>
      </c>
      <c r="M232" s="28">
        <v>20236.03</v>
      </c>
      <c r="N232" s="39">
        <f>Data[[#This Row],[Gross Wages]]/Data[[#This Row],[No. of Hours Worked]]</f>
        <v>32.274370015948961</v>
      </c>
      <c r="P232" s="33"/>
    </row>
    <row r="233" spans="1:16" x14ac:dyDescent="0.3">
      <c r="A233" s="15" t="s">
        <v>132</v>
      </c>
      <c r="B233" s="1">
        <v>2024</v>
      </c>
      <c r="C233" s="10">
        <v>45506</v>
      </c>
      <c r="D233" s="34" t="s">
        <v>65</v>
      </c>
      <c r="E233" s="1" t="s">
        <v>66</v>
      </c>
      <c r="F233" s="1" t="s">
        <v>125</v>
      </c>
      <c r="G233" s="1" t="s">
        <v>68</v>
      </c>
      <c r="H233" s="2" t="s">
        <v>126</v>
      </c>
      <c r="I233" s="1" t="s">
        <v>2</v>
      </c>
      <c r="J233" s="1" t="s">
        <v>9</v>
      </c>
      <c r="K233" s="1">
        <v>1</v>
      </c>
      <c r="L233" s="1">
        <v>4</v>
      </c>
      <c r="M233" s="28">
        <v>122.4</v>
      </c>
      <c r="N233" s="39">
        <f>Data[[#This Row],[Gross Wages]]/Data[[#This Row],[No. of Hours Worked]]</f>
        <v>30.6</v>
      </c>
      <c r="P233" s="33"/>
    </row>
    <row r="234" spans="1:16" x14ac:dyDescent="0.3">
      <c r="A234" s="15" t="s">
        <v>132</v>
      </c>
      <c r="B234" s="1">
        <v>2024</v>
      </c>
      <c r="C234" s="10">
        <v>45509</v>
      </c>
      <c r="D234" s="34" t="s">
        <v>65</v>
      </c>
      <c r="E234" s="1" t="s">
        <v>66</v>
      </c>
      <c r="F234" s="1" t="s">
        <v>125</v>
      </c>
      <c r="G234" s="1" t="s">
        <v>68</v>
      </c>
      <c r="H234" s="2" t="s">
        <v>126</v>
      </c>
      <c r="I234" s="1" t="s">
        <v>0</v>
      </c>
      <c r="J234" s="1" t="s">
        <v>10</v>
      </c>
      <c r="K234" s="1">
        <v>1</v>
      </c>
      <c r="L234" s="1">
        <v>40.5</v>
      </c>
      <c r="M234" s="28">
        <v>1246.95</v>
      </c>
      <c r="N234" s="39">
        <f>Data[[#This Row],[Gross Wages]]/Data[[#This Row],[No. of Hours Worked]]</f>
        <v>30.788888888888891</v>
      </c>
      <c r="P234" s="33"/>
    </row>
    <row r="235" spans="1:16" x14ac:dyDescent="0.3">
      <c r="A235" s="15" t="s">
        <v>132</v>
      </c>
      <c r="B235" s="1">
        <v>2024</v>
      </c>
      <c r="C235" s="10">
        <v>45510</v>
      </c>
      <c r="D235" s="34" t="s">
        <v>65</v>
      </c>
      <c r="E235" s="1" t="s">
        <v>66</v>
      </c>
      <c r="F235" s="1" t="s">
        <v>133</v>
      </c>
      <c r="G235" s="1" t="s">
        <v>68</v>
      </c>
      <c r="H235" s="2" t="s">
        <v>134</v>
      </c>
      <c r="I235" s="1" t="s">
        <v>0</v>
      </c>
      <c r="J235" s="1" t="s">
        <v>9</v>
      </c>
      <c r="K235" s="1">
        <v>1</v>
      </c>
      <c r="L235" s="1">
        <v>20</v>
      </c>
      <c r="M235" s="28">
        <v>821.8</v>
      </c>
      <c r="N235" s="39">
        <f>Data[[#This Row],[Gross Wages]]/Data[[#This Row],[No. of Hours Worked]]</f>
        <v>41.089999999999996</v>
      </c>
      <c r="P235" s="33"/>
    </row>
    <row r="236" spans="1:16" x14ac:dyDescent="0.3">
      <c r="A236" s="15" t="s">
        <v>43</v>
      </c>
      <c r="B236" s="1">
        <v>2024</v>
      </c>
      <c r="C236" s="10">
        <v>45536</v>
      </c>
      <c r="D236" s="2" t="s">
        <v>65</v>
      </c>
      <c r="E236" s="1" t="s">
        <v>80</v>
      </c>
      <c r="F236" s="1" t="s">
        <v>88</v>
      </c>
      <c r="G236" s="1" t="s">
        <v>68</v>
      </c>
      <c r="H236" s="2" t="s">
        <v>89</v>
      </c>
      <c r="I236" s="1" t="s">
        <v>0</v>
      </c>
      <c r="J236" s="1" t="s">
        <v>9</v>
      </c>
      <c r="K236" s="1">
        <v>6</v>
      </c>
      <c r="L236" s="1">
        <v>796</v>
      </c>
      <c r="M236" s="16">
        <v>29665.51</v>
      </c>
      <c r="N236" s="39">
        <f>Data[[#This Row],[Gross Wages]]/Data[[#This Row],[No. of Hours Worked]]</f>
        <v>37.268228643216077</v>
      </c>
      <c r="P236" s="33"/>
    </row>
    <row r="237" spans="1:16" x14ac:dyDescent="0.3">
      <c r="A237" s="15" t="s">
        <v>43</v>
      </c>
      <c r="B237" s="1">
        <v>2024</v>
      </c>
      <c r="C237" s="10">
        <v>45536</v>
      </c>
      <c r="D237" s="2" t="s">
        <v>65</v>
      </c>
      <c r="E237" s="1" t="s">
        <v>80</v>
      </c>
      <c r="F237" s="1" t="s">
        <v>88</v>
      </c>
      <c r="G237" s="1" t="s">
        <v>68</v>
      </c>
      <c r="H237" s="2" t="s">
        <v>89</v>
      </c>
      <c r="I237" s="1" t="s">
        <v>0</v>
      </c>
      <c r="J237" s="1" t="s">
        <v>10</v>
      </c>
      <c r="K237" s="1">
        <v>0</v>
      </c>
      <c r="L237" s="1">
        <v>0</v>
      </c>
      <c r="M237" s="16"/>
      <c r="N237" s="39" t="e">
        <f>Data[[#This Row],[Gross Wages]]/Data[[#This Row],[No. of Hours Worked]]</f>
        <v>#DIV/0!</v>
      </c>
      <c r="P237" s="33"/>
    </row>
    <row r="238" spans="1:16" x14ac:dyDescent="0.3">
      <c r="A238" s="15" t="s">
        <v>124</v>
      </c>
      <c r="B238" s="1">
        <v>2024</v>
      </c>
      <c r="C238" s="10">
        <v>45536</v>
      </c>
      <c r="D238" s="34" t="s">
        <v>65</v>
      </c>
      <c r="E238" s="1" t="s">
        <v>66</v>
      </c>
      <c r="F238" s="1" t="s">
        <v>125</v>
      </c>
      <c r="G238" s="1" t="s">
        <v>68</v>
      </c>
      <c r="H238" s="2" t="s">
        <v>126</v>
      </c>
      <c r="I238" s="1" t="s">
        <v>0</v>
      </c>
      <c r="J238" s="1" t="s">
        <v>9</v>
      </c>
      <c r="K238" s="1">
        <v>7</v>
      </c>
      <c r="L238" s="1">
        <v>94</v>
      </c>
      <c r="M238" s="28">
        <v>5155.16</v>
      </c>
      <c r="N238" s="39">
        <f>Data[[#This Row],[Gross Wages]]/Data[[#This Row],[No. of Hours Worked]]</f>
        <v>54.842127659574466</v>
      </c>
      <c r="P238" s="33"/>
    </row>
    <row r="239" spans="1:16" x14ac:dyDescent="0.3">
      <c r="A239" s="15" t="s">
        <v>102</v>
      </c>
      <c r="B239" s="1">
        <v>2024</v>
      </c>
      <c r="C239" s="10">
        <v>45536</v>
      </c>
      <c r="D239" s="2" t="s">
        <v>65</v>
      </c>
      <c r="E239" s="18" t="s">
        <v>66</v>
      </c>
      <c r="F239" s="18" t="s">
        <v>84</v>
      </c>
      <c r="G239" s="19" t="s">
        <v>68</v>
      </c>
      <c r="H239" s="23" t="s">
        <v>85</v>
      </c>
      <c r="I239" s="71" t="s">
        <v>0</v>
      </c>
      <c r="J239" s="71" t="s">
        <v>9</v>
      </c>
      <c r="K239" s="71">
        <v>1</v>
      </c>
      <c r="L239" s="71">
        <v>96</v>
      </c>
      <c r="M239" s="25">
        <v>4032</v>
      </c>
      <c r="N239" s="39">
        <f>Data[[#This Row],[Gross Wages]]/Data[[#This Row],[No. of Hours Worked]]</f>
        <v>42</v>
      </c>
      <c r="P239" s="33"/>
    </row>
    <row r="240" spans="1:16" x14ac:dyDescent="0.3">
      <c r="A240" s="15" t="s">
        <v>127</v>
      </c>
      <c r="B240" s="1">
        <v>2024</v>
      </c>
      <c r="C240" s="10">
        <v>45536</v>
      </c>
      <c r="D240" s="34" t="s">
        <v>65</v>
      </c>
      <c r="E240" s="1" t="s">
        <v>66</v>
      </c>
      <c r="F240" s="1" t="s">
        <v>93</v>
      </c>
      <c r="G240" s="1" t="s">
        <v>68</v>
      </c>
      <c r="H240" s="2" t="s">
        <v>94</v>
      </c>
      <c r="I240" s="1" t="s">
        <v>0</v>
      </c>
      <c r="J240" s="1" t="s">
        <v>9</v>
      </c>
      <c r="K240" s="1">
        <v>2</v>
      </c>
      <c r="L240" s="1">
        <v>91</v>
      </c>
      <c r="M240" s="28">
        <v>3064.88</v>
      </c>
      <c r="N240" s="39">
        <f>Data[[#This Row],[Gross Wages]]/Data[[#This Row],[No. of Hours Worked]]</f>
        <v>33.68</v>
      </c>
      <c r="P240" s="33"/>
    </row>
    <row r="241" spans="1:16" x14ac:dyDescent="0.3">
      <c r="A241" s="15" t="s">
        <v>140</v>
      </c>
      <c r="B241" s="1">
        <v>2024</v>
      </c>
      <c r="C241" s="10">
        <v>45536</v>
      </c>
      <c r="D241" s="34" t="s">
        <v>65</v>
      </c>
      <c r="E241" s="1" t="s">
        <v>66</v>
      </c>
      <c r="F241" s="1" t="s">
        <v>70</v>
      </c>
      <c r="G241" s="1" t="s">
        <v>68</v>
      </c>
      <c r="H241" s="2" t="s">
        <v>71</v>
      </c>
      <c r="I241" s="1" t="s">
        <v>0</v>
      </c>
      <c r="J241" s="1" t="s">
        <v>9</v>
      </c>
      <c r="K241" s="1">
        <v>8</v>
      </c>
      <c r="L241" s="1">
        <v>519</v>
      </c>
      <c r="M241" s="28">
        <v>15040.42</v>
      </c>
      <c r="N241" s="39">
        <f>Data[[#This Row],[Gross Wages]]/Data[[#This Row],[No. of Hours Worked]]</f>
        <v>28.979614643545279</v>
      </c>
      <c r="P241" s="33"/>
    </row>
    <row r="242" spans="1:16" x14ac:dyDescent="0.3">
      <c r="A242" s="15" t="s">
        <v>140</v>
      </c>
      <c r="B242" s="1">
        <v>2024</v>
      </c>
      <c r="C242" s="10">
        <v>45536</v>
      </c>
      <c r="D242" s="34" t="s">
        <v>65</v>
      </c>
      <c r="E242" s="1" t="s">
        <v>66</v>
      </c>
      <c r="F242" s="1" t="s">
        <v>141</v>
      </c>
      <c r="G242" s="1" t="s">
        <v>68</v>
      </c>
      <c r="H242" s="2" t="s">
        <v>142</v>
      </c>
      <c r="I242" s="1" t="s">
        <v>0</v>
      </c>
      <c r="J242" s="1" t="s">
        <v>9</v>
      </c>
      <c r="K242" s="1">
        <v>1</v>
      </c>
      <c r="L242" s="1">
        <v>64</v>
      </c>
      <c r="M242" s="28">
        <v>1976.32</v>
      </c>
      <c r="N242" s="39">
        <f>Data[[#This Row],[Gross Wages]]/Data[[#This Row],[No. of Hours Worked]]</f>
        <v>30.88</v>
      </c>
      <c r="P242" s="33"/>
    </row>
    <row r="243" spans="1:16" x14ac:dyDescent="0.3">
      <c r="A243" s="15" t="s">
        <v>128</v>
      </c>
      <c r="B243" s="1">
        <v>2024</v>
      </c>
      <c r="C243" s="10">
        <v>45536</v>
      </c>
      <c r="D243" s="34" t="s">
        <v>65</v>
      </c>
      <c r="E243" s="1" t="s">
        <v>66</v>
      </c>
      <c r="F243" s="1" t="s">
        <v>97</v>
      </c>
      <c r="G243" s="1" t="s">
        <v>68</v>
      </c>
      <c r="H243" s="2" t="s">
        <v>98</v>
      </c>
      <c r="I243" s="1" t="s">
        <v>0</v>
      </c>
      <c r="J243" s="1" t="s">
        <v>9</v>
      </c>
      <c r="K243" s="1">
        <v>9</v>
      </c>
      <c r="L243" s="1">
        <v>981</v>
      </c>
      <c r="M243" s="28">
        <v>36133.82</v>
      </c>
      <c r="N243" s="39">
        <f>Data[[#This Row],[Gross Wages]]/Data[[#This Row],[No. of Hours Worked]]</f>
        <v>36.833659531090724</v>
      </c>
      <c r="P243" s="33"/>
    </row>
    <row r="244" spans="1:16" x14ac:dyDescent="0.3">
      <c r="A244" s="15" t="s">
        <v>48</v>
      </c>
      <c r="B244" s="1">
        <v>2024</v>
      </c>
      <c r="C244" s="10">
        <v>45536</v>
      </c>
      <c r="D244" s="2" t="s">
        <v>65</v>
      </c>
      <c r="E244" s="1" t="s">
        <v>66</v>
      </c>
      <c r="F244" s="1" t="s">
        <v>84</v>
      </c>
      <c r="G244" s="1" t="s">
        <v>68</v>
      </c>
      <c r="H244" s="2" t="s">
        <v>85</v>
      </c>
      <c r="I244" s="1" t="s">
        <v>0</v>
      </c>
      <c r="J244" s="1" t="s">
        <v>9</v>
      </c>
      <c r="K244" s="1">
        <v>9</v>
      </c>
      <c r="L244" s="1">
        <v>566</v>
      </c>
      <c r="M244" s="28">
        <v>22923.599999999999</v>
      </c>
      <c r="N244" s="39">
        <f>Data[[#This Row],[Gross Wages]]/Data[[#This Row],[No. of Hours Worked]]</f>
        <v>40.501060070671379</v>
      </c>
      <c r="P244" s="33"/>
    </row>
    <row r="245" spans="1:16" x14ac:dyDescent="0.3">
      <c r="A245" s="15" t="s">
        <v>49</v>
      </c>
      <c r="B245" s="1">
        <v>2024</v>
      </c>
      <c r="C245" s="10">
        <v>45536</v>
      </c>
      <c r="D245" s="2" t="s">
        <v>65</v>
      </c>
      <c r="E245" s="1" t="s">
        <v>66</v>
      </c>
      <c r="F245" s="1" t="s">
        <v>67</v>
      </c>
      <c r="G245" s="1" t="s">
        <v>68</v>
      </c>
      <c r="H245" s="2" t="s">
        <v>69</v>
      </c>
      <c r="I245" s="1" t="s">
        <v>0</v>
      </c>
      <c r="J245" s="1" t="s">
        <v>9</v>
      </c>
      <c r="K245" s="1">
        <v>7</v>
      </c>
      <c r="L245" s="1">
        <v>830</v>
      </c>
      <c r="M245" s="16">
        <v>59892.800000000003</v>
      </c>
      <c r="N245" s="39">
        <f>Data[[#This Row],[Gross Wages]]/Data[[#This Row],[No. of Hours Worked]]</f>
        <v>72.16</v>
      </c>
      <c r="P245" s="33"/>
    </row>
    <row r="246" spans="1:16" x14ac:dyDescent="0.3">
      <c r="A246" s="15" t="s">
        <v>49</v>
      </c>
      <c r="B246" s="1">
        <v>2024</v>
      </c>
      <c r="C246" s="10">
        <v>45536</v>
      </c>
      <c r="D246" s="2" t="s">
        <v>65</v>
      </c>
      <c r="E246" s="1" t="s">
        <v>66</v>
      </c>
      <c r="F246" s="1" t="s">
        <v>67</v>
      </c>
      <c r="G246" s="1" t="s">
        <v>68</v>
      </c>
      <c r="H246" s="2" t="s">
        <v>69</v>
      </c>
      <c r="I246" s="1" t="s">
        <v>0</v>
      </c>
      <c r="J246" s="1" t="s">
        <v>10</v>
      </c>
      <c r="K246" s="1">
        <v>0</v>
      </c>
      <c r="L246" s="1">
        <v>0</v>
      </c>
      <c r="M246" s="16"/>
      <c r="N246" s="39" t="e">
        <f>Data[[#This Row],[Gross Wages]]/Data[[#This Row],[No. of Hours Worked]]</f>
        <v>#DIV/0!</v>
      </c>
      <c r="P246" s="33"/>
    </row>
    <row r="247" spans="1:16" x14ac:dyDescent="0.3">
      <c r="A247" s="15" t="s">
        <v>52</v>
      </c>
      <c r="B247" s="1">
        <v>2024</v>
      </c>
      <c r="C247" s="10">
        <v>45536</v>
      </c>
      <c r="D247" s="2" t="s">
        <v>65</v>
      </c>
      <c r="E247" s="1" t="s">
        <v>66</v>
      </c>
      <c r="F247" s="1" t="s">
        <v>90</v>
      </c>
      <c r="G247" s="1" t="s">
        <v>68</v>
      </c>
      <c r="H247" s="2" t="s">
        <v>69</v>
      </c>
      <c r="I247" s="1" t="s">
        <v>0</v>
      </c>
      <c r="J247" s="1" t="s">
        <v>9</v>
      </c>
      <c r="K247" s="1">
        <v>2</v>
      </c>
      <c r="L247" s="1">
        <v>80</v>
      </c>
      <c r="M247" s="16">
        <v>5130.72</v>
      </c>
      <c r="N247" s="39">
        <f>Data[[#This Row],[Gross Wages]]/Data[[#This Row],[No. of Hours Worked]]</f>
        <v>64.134</v>
      </c>
      <c r="P247" s="33"/>
    </row>
    <row r="248" spans="1:16" x14ac:dyDescent="0.3">
      <c r="A248" s="15" t="s">
        <v>52</v>
      </c>
      <c r="B248" s="1">
        <v>2024</v>
      </c>
      <c r="C248" s="10">
        <v>45536</v>
      </c>
      <c r="D248" s="2" t="s">
        <v>65</v>
      </c>
      <c r="E248" s="1" t="s">
        <v>66</v>
      </c>
      <c r="F248" s="1" t="s">
        <v>90</v>
      </c>
      <c r="G248" s="1" t="s">
        <v>68</v>
      </c>
      <c r="H248" s="2" t="s">
        <v>69</v>
      </c>
      <c r="I248" s="1" t="s">
        <v>0</v>
      </c>
      <c r="J248" s="1" t="s">
        <v>10</v>
      </c>
      <c r="K248" s="1">
        <v>0</v>
      </c>
      <c r="L248" s="1">
        <v>0</v>
      </c>
      <c r="M248" s="16"/>
      <c r="N248" s="39" t="e">
        <f>Data[[#This Row],[Gross Wages]]/Data[[#This Row],[No. of Hours Worked]]</f>
        <v>#DIV/0!</v>
      </c>
      <c r="P248" s="33"/>
    </row>
    <row r="249" spans="1:16" x14ac:dyDescent="0.3">
      <c r="A249" s="15" t="s">
        <v>144</v>
      </c>
      <c r="B249" s="1">
        <v>2024</v>
      </c>
      <c r="C249" s="10">
        <v>45536</v>
      </c>
      <c r="D249" s="34" t="s">
        <v>65</v>
      </c>
      <c r="E249" s="1" t="s">
        <v>66</v>
      </c>
      <c r="F249" s="1" t="s">
        <v>95</v>
      </c>
      <c r="G249" s="1" t="s">
        <v>68</v>
      </c>
      <c r="H249" s="2" t="s">
        <v>96</v>
      </c>
      <c r="I249" s="1" t="s">
        <v>3</v>
      </c>
      <c r="J249" s="1" t="s">
        <v>9</v>
      </c>
      <c r="K249" s="1">
        <v>1</v>
      </c>
      <c r="L249" s="1">
        <v>16</v>
      </c>
      <c r="M249" s="16">
        <v>1600</v>
      </c>
      <c r="N249" s="39">
        <f>Data[[#This Row],[Gross Wages]]/Data[[#This Row],[No. of Hours Worked]]</f>
        <v>100</v>
      </c>
      <c r="P249" s="33"/>
    </row>
    <row r="250" spans="1:16" x14ac:dyDescent="0.3">
      <c r="A250" s="15" t="s">
        <v>144</v>
      </c>
      <c r="B250" s="1">
        <v>2024</v>
      </c>
      <c r="C250" s="10">
        <v>45536</v>
      </c>
      <c r="D250" s="34" t="s">
        <v>65</v>
      </c>
      <c r="E250" s="1" t="s">
        <v>66</v>
      </c>
      <c r="F250" s="1" t="s">
        <v>145</v>
      </c>
      <c r="G250" s="1" t="s">
        <v>68</v>
      </c>
      <c r="H250" s="2" t="s">
        <v>146</v>
      </c>
      <c r="I250" s="1" t="s">
        <v>1</v>
      </c>
      <c r="J250" s="1" t="s">
        <v>9</v>
      </c>
      <c r="K250" s="1">
        <v>1</v>
      </c>
      <c r="L250" s="1">
        <v>40</v>
      </c>
      <c r="M250" s="16">
        <v>2048</v>
      </c>
      <c r="N250" s="39">
        <f>Data[[#This Row],[Gross Wages]]/Data[[#This Row],[No. of Hours Worked]]</f>
        <v>51.2</v>
      </c>
      <c r="P250" s="33"/>
    </row>
    <row r="251" spans="1:16" x14ac:dyDescent="0.3">
      <c r="A251" s="15" t="s">
        <v>144</v>
      </c>
      <c r="B251" s="1">
        <v>2024</v>
      </c>
      <c r="C251" s="10">
        <v>45536</v>
      </c>
      <c r="D251" s="34" t="s">
        <v>65</v>
      </c>
      <c r="E251" s="1" t="s">
        <v>66</v>
      </c>
      <c r="F251" s="1" t="s">
        <v>145</v>
      </c>
      <c r="G251" s="1" t="s">
        <v>68</v>
      </c>
      <c r="H251" s="2" t="s">
        <v>146</v>
      </c>
      <c r="I251" s="1" t="s">
        <v>111</v>
      </c>
      <c r="J251" s="1" t="s">
        <v>9</v>
      </c>
      <c r="K251" s="1">
        <v>2</v>
      </c>
      <c r="L251" s="1">
        <v>125.5</v>
      </c>
      <c r="M251" s="16">
        <v>6183.13</v>
      </c>
      <c r="N251" s="39">
        <f>Data[[#This Row],[Gross Wages]]/Data[[#This Row],[No. of Hours Worked]]</f>
        <v>49.267968127490043</v>
      </c>
      <c r="P251" s="33"/>
    </row>
    <row r="252" spans="1:16" x14ac:dyDescent="0.3">
      <c r="A252" s="15" t="s">
        <v>144</v>
      </c>
      <c r="B252" s="1">
        <v>2024</v>
      </c>
      <c r="C252" s="10">
        <v>45536</v>
      </c>
      <c r="D252" s="34" t="s">
        <v>65</v>
      </c>
      <c r="E252" s="1" t="s">
        <v>66</v>
      </c>
      <c r="F252" s="1" t="s">
        <v>95</v>
      </c>
      <c r="G252" s="1" t="s">
        <v>68</v>
      </c>
      <c r="H252" s="2" t="s">
        <v>96</v>
      </c>
      <c r="I252" s="1" t="s">
        <v>0</v>
      </c>
      <c r="J252" s="1" t="s">
        <v>9</v>
      </c>
      <c r="K252" s="1">
        <v>2</v>
      </c>
      <c r="L252" s="1">
        <v>208</v>
      </c>
      <c r="M252" s="16">
        <v>11661.07</v>
      </c>
      <c r="N252" s="39">
        <f>Data[[#This Row],[Gross Wages]]/Data[[#This Row],[No. of Hours Worked]]</f>
        <v>56.062836538461539</v>
      </c>
      <c r="P252" s="33"/>
    </row>
    <row r="253" spans="1:16" x14ac:dyDescent="0.3">
      <c r="A253" s="15" t="s">
        <v>144</v>
      </c>
      <c r="B253" s="1">
        <v>2024</v>
      </c>
      <c r="C253" s="10">
        <v>45536</v>
      </c>
      <c r="D253" s="34" t="s">
        <v>65</v>
      </c>
      <c r="E253" s="1" t="s">
        <v>66</v>
      </c>
      <c r="F253" s="1" t="s">
        <v>145</v>
      </c>
      <c r="G253" s="1" t="s">
        <v>68</v>
      </c>
      <c r="H253" s="2" t="s">
        <v>146</v>
      </c>
      <c r="I253" s="1" t="s">
        <v>0</v>
      </c>
      <c r="J253" s="1" t="s">
        <v>9</v>
      </c>
      <c r="K253" s="1">
        <v>2</v>
      </c>
      <c r="L253" s="1">
        <v>267</v>
      </c>
      <c r="M253" s="16">
        <v>13263.56</v>
      </c>
      <c r="N253" s="39">
        <f>Data[[#This Row],[Gross Wages]]/Data[[#This Row],[No. of Hours Worked]]</f>
        <v>49.67625468164794</v>
      </c>
      <c r="P253" s="33"/>
    </row>
    <row r="254" spans="1:16" x14ac:dyDescent="0.3">
      <c r="A254" s="15" t="s">
        <v>132</v>
      </c>
      <c r="B254" s="1">
        <v>2024</v>
      </c>
      <c r="C254" s="10">
        <v>45536</v>
      </c>
      <c r="D254" s="34" t="s">
        <v>65</v>
      </c>
      <c r="E254" s="1" t="s">
        <v>66</v>
      </c>
      <c r="F254" s="1" t="s">
        <v>133</v>
      </c>
      <c r="G254" s="1" t="s">
        <v>68</v>
      </c>
      <c r="H254" s="2" t="s">
        <v>134</v>
      </c>
      <c r="I254" s="1" t="s">
        <v>0</v>
      </c>
      <c r="J254" s="1" t="s">
        <v>9</v>
      </c>
      <c r="K254" s="1">
        <v>1</v>
      </c>
      <c r="L254" s="1">
        <v>3</v>
      </c>
      <c r="M254" s="28">
        <v>123.27</v>
      </c>
      <c r="N254" s="39">
        <f>Data[[#This Row],[Gross Wages]]/Data[[#This Row],[No. of Hours Worked]]</f>
        <v>41.089999999999996</v>
      </c>
      <c r="P254" s="33"/>
    </row>
    <row r="255" spans="1:16" x14ac:dyDescent="0.3">
      <c r="A255" s="15" t="s">
        <v>132</v>
      </c>
      <c r="B255" s="1">
        <v>2024</v>
      </c>
      <c r="C255" s="10">
        <v>45536</v>
      </c>
      <c r="D255" s="34" t="s">
        <v>65</v>
      </c>
      <c r="E255" s="1" t="s">
        <v>66</v>
      </c>
      <c r="F255" s="1" t="s">
        <v>125</v>
      </c>
      <c r="G255" s="1" t="s">
        <v>68</v>
      </c>
      <c r="H255" s="2" t="s">
        <v>126</v>
      </c>
      <c r="I255" s="1" t="s">
        <v>0</v>
      </c>
      <c r="J255" s="1" t="s">
        <v>10</v>
      </c>
      <c r="K255" s="1">
        <v>1</v>
      </c>
      <c r="L255" s="1">
        <v>39.5</v>
      </c>
      <c r="M255" s="28">
        <v>1262.25</v>
      </c>
      <c r="N255" s="39">
        <f>Data[[#This Row],[Gross Wages]]/Data[[#This Row],[No. of Hours Worked]]</f>
        <v>31.955696202531644</v>
      </c>
      <c r="P255" s="33"/>
    </row>
    <row r="256" spans="1:16" x14ac:dyDescent="0.3">
      <c r="A256" s="15" t="s">
        <v>132</v>
      </c>
      <c r="B256" s="1">
        <v>2024</v>
      </c>
      <c r="C256" s="10">
        <v>45536</v>
      </c>
      <c r="D256" s="34" t="s">
        <v>65</v>
      </c>
      <c r="E256" s="1" t="s">
        <v>66</v>
      </c>
      <c r="F256" s="1" t="s">
        <v>125</v>
      </c>
      <c r="G256" s="1" t="s">
        <v>68</v>
      </c>
      <c r="H256" s="2" t="s">
        <v>126</v>
      </c>
      <c r="I256" s="1" t="s">
        <v>0</v>
      </c>
      <c r="J256" s="1" t="s">
        <v>9</v>
      </c>
      <c r="K256" s="1">
        <v>10</v>
      </c>
      <c r="L256" s="1">
        <v>763</v>
      </c>
      <c r="M256" s="28">
        <v>26478.98</v>
      </c>
      <c r="N256" s="39">
        <f>Data[[#This Row],[Gross Wages]]/Data[[#This Row],[No. of Hours Worked]]</f>
        <v>34.703774574049802</v>
      </c>
      <c r="P256" s="33"/>
    </row>
    <row r="257" spans="1:16" x14ac:dyDescent="0.3">
      <c r="A257" s="15" t="s">
        <v>43</v>
      </c>
      <c r="B257" s="1">
        <v>2024</v>
      </c>
      <c r="C257" s="10">
        <v>45566</v>
      </c>
      <c r="D257" s="2" t="s">
        <v>77</v>
      </c>
      <c r="E257" s="1" t="s">
        <v>80</v>
      </c>
      <c r="F257" s="1" t="s">
        <v>88</v>
      </c>
      <c r="G257" s="1" t="s">
        <v>68</v>
      </c>
      <c r="H257" s="2" t="s">
        <v>89</v>
      </c>
      <c r="I257" s="1" t="s">
        <v>0</v>
      </c>
      <c r="J257" s="1" t="s">
        <v>9</v>
      </c>
      <c r="K257" s="1">
        <v>6</v>
      </c>
      <c r="L257" s="1">
        <v>1274</v>
      </c>
      <c r="M257" s="16">
        <v>48081.87</v>
      </c>
      <c r="N257" s="39">
        <f>Data[[#This Row],[Gross Wages]]/Data[[#This Row],[No. of Hours Worked]]</f>
        <v>37.740871271585561</v>
      </c>
      <c r="P257" s="33"/>
    </row>
    <row r="258" spans="1:16" x14ac:dyDescent="0.3">
      <c r="A258" s="15" t="s">
        <v>43</v>
      </c>
      <c r="B258" s="1">
        <v>2024</v>
      </c>
      <c r="C258" s="10">
        <v>45566</v>
      </c>
      <c r="D258" s="2" t="s">
        <v>77</v>
      </c>
      <c r="E258" s="1" t="s">
        <v>80</v>
      </c>
      <c r="F258" s="1" t="s">
        <v>88</v>
      </c>
      <c r="G258" s="1" t="s">
        <v>68</v>
      </c>
      <c r="H258" s="2" t="s">
        <v>89</v>
      </c>
      <c r="I258" s="1" t="s">
        <v>0</v>
      </c>
      <c r="J258" s="1" t="s">
        <v>10</v>
      </c>
      <c r="K258" s="1">
        <v>0</v>
      </c>
      <c r="L258" s="1">
        <v>0</v>
      </c>
      <c r="M258" s="16"/>
      <c r="N258" s="39" t="e">
        <f>Data[[#This Row],[Gross Wages]]/Data[[#This Row],[No. of Hours Worked]]</f>
        <v>#DIV/0!</v>
      </c>
      <c r="P258" s="33"/>
    </row>
    <row r="259" spans="1:16" x14ac:dyDescent="0.3">
      <c r="A259" s="15" t="s">
        <v>124</v>
      </c>
      <c r="B259" s="1">
        <v>2024</v>
      </c>
      <c r="C259" s="10">
        <v>45566</v>
      </c>
      <c r="D259" s="34" t="s">
        <v>77</v>
      </c>
      <c r="E259" s="1" t="s">
        <v>66</v>
      </c>
      <c r="F259" s="1" t="s">
        <v>125</v>
      </c>
      <c r="G259" s="1" t="s">
        <v>68</v>
      </c>
      <c r="H259" s="2" t="s">
        <v>126</v>
      </c>
      <c r="I259" s="1" t="s">
        <v>0</v>
      </c>
      <c r="J259" s="1" t="s">
        <v>9</v>
      </c>
      <c r="K259" s="1">
        <v>4</v>
      </c>
      <c r="L259" s="1">
        <v>78</v>
      </c>
      <c r="M259" s="28">
        <v>4151.92</v>
      </c>
      <c r="N259" s="39">
        <f>Data[[#This Row],[Gross Wages]]/Data[[#This Row],[No. of Hours Worked]]</f>
        <v>53.229743589743592</v>
      </c>
      <c r="P259" s="33"/>
    </row>
    <row r="260" spans="1:16" x14ac:dyDescent="0.3">
      <c r="A260" s="15" t="s">
        <v>102</v>
      </c>
      <c r="B260" s="1">
        <v>2024</v>
      </c>
      <c r="C260" s="10">
        <v>45566</v>
      </c>
      <c r="D260" s="2" t="s">
        <v>77</v>
      </c>
      <c r="E260" s="18" t="s">
        <v>66</v>
      </c>
      <c r="F260" s="18" t="s">
        <v>84</v>
      </c>
      <c r="G260" s="19" t="s">
        <v>68</v>
      </c>
      <c r="H260" s="23" t="s">
        <v>85</v>
      </c>
      <c r="I260" s="71" t="s">
        <v>0</v>
      </c>
      <c r="J260" s="71" t="s">
        <v>9</v>
      </c>
      <c r="K260" s="71">
        <v>1</v>
      </c>
      <c r="L260" s="71">
        <v>154.5</v>
      </c>
      <c r="M260" s="20">
        <v>6489</v>
      </c>
      <c r="N260" s="39">
        <f>Data[[#This Row],[Gross Wages]]/Data[[#This Row],[No. of Hours Worked]]</f>
        <v>42</v>
      </c>
      <c r="P260" s="33"/>
    </row>
    <row r="261" spans="1:16" x14ac:dyDescent="0.3">
      <c r="A261" s="15" t="s">
        <v>140</v>
      </c>
      <c r="B261" s="1">
        <v>2024</v>
      </c>
      <c r="C261" s="10">
        <v>45566</v>
      </c>
      <c r="D261" s="34" t="s">
        <v>77</v>
      </c>
      <c r="E261" s="1" t="s">
        <v>66</v>
      </c>
      <c r="F261" s="1" t="s">
        <v>70</v>
      </c>
      <c r="G261" s="1" t="s">
        <v>68</v>
      </c>
      <c r="H261" s="2" t="s">
        <v>71</v>
      </c>
      <c r="I261" s="1" t="s">
        <v>0</v>
      </c>
      <c r="J261" s="1" t="s">
        <v>9</v>
      </c>
      <c r="K261" s="1">
        <v>7</v>
      </c>
      <c r="L261" s="1">
        <v>479</v>
      </c>
      <c r="M261" s="28">
        <v>14349.76</v>
      </c>
      <c r="N261" s="39">
        <f>Data[[#This Row],[Gross Wages]]/Data[[#This Row],[No. of Hours Worked]]</f>
        <v>29.957745302713988</v>
      </c>
      <c r="P261" s="33"/>
    </row>
    <row r="262" spans="1:16" x14ac:dyDescent="0.3">
      <c r="A262" s="15" t="s">
        <v>140</v>
      </c>
      <c r="B262" s="1">
        <v>2024</v>
      </c>
      <c r="C262" s="10">
        <v>45566</v>
      </c>
      <c r="D262" s="34" t="s">
        <v>77</v>
      </c>
      <c r="E262" s="1" t="s">
        <v>66</v>
      </c>
      <c r="F262" s="1" t="s">
        <v>141</v>
      </c>
      <c r="G262" s="1" t="s">
        <v>68</v>
      </c>
      <c r="H262" s="2" t="s">
        <v>142</v>
      </c>
      <c r="I262" s="1" t="s">
        <v>0</v>
      </c>
      <c r="J262" s="1" t="s">
        <v>9</v>
      </c>
      <c r="K262" s="1">
        <v>1</v>
      </c>
      <c r="L262" s="1">
        <v>48</v>
      </c>
      <c r="M262" s="28">
        <v>1482.24</v>
      </c>
      <c r="N262" s="39">
        <f>Data[[#This Row],[Gross Wages]]/Data[[#This Row],[No. of Hours Worked]]</f>
        <v>30.88</v>
      </c>
      <c r="P262" s="33"/>
    </row>
    <row r="263" spans="1:16" x14ac:dyDescent="0.3">
      <c r="A263" s="15" t="s">
        <v>128</v>
      </c>
      <c r="B263" s="1">
        <v>2024</v>
      </c>
      <c r="C263" s="10">
        <v>45566</v>
      </c>
      <c r="D263" s="34" t="s">
        <v>77</v>
      </c>
      <c r="E263" s="1" t="s">
        <v>66</v>
      </c>
      <c r="F263" s="1" t="s">
        <v>97</v>
      </c>
      <c r="G263" s="1" t="s">
        <v>68</v>
      </c>
      <c r="H263" s="2" t="s">
        <v>98</v>
      </c>
      <c r="I263" s="1" t="s">
        <v>0</v>
      </c>
      <c r="J263" s="1" t="s">
        <v>9</v>
      </c>
      <c r="K263" s="1">
        <v>10</v>
      </c>
      <c r="L263" s="1">
        <v>1008</v>
      </c>
      <c r="M263" s="28">
        <v>37292.160000000003</v>
      </c>
      <c r="N263" s="39">
        <f>Data[[#This Row],[Gross Wages]]/Data[[#This Row],[No. of Hours Worked]]</f>
        <v>36.996190476190478</v>
      </c>
      <c r="P263" s="33"/>
    </row>
    <row r="264" spans="1:16" x14ac:dyDescent="0.3">
      <c r="A264" s="15" t="s">
        <v>48</v>
      </c>
      <c r="B264" s="1">
        <v>2024</v>
      </c>
      <c r="C264" s="10">
        <v>45566</v>
      </c>
      <c r="D264" s="2" t="s">
        <v>77</v>
      </c>
      <c r="E264" s="1" t="s">
        <v>66</v>
      </c>
      <c r="F264" s="1" t="s">
        <v>84</v>
      </c>
      <c r="G264" s="1" t="s">
        <v>68</v>
      </c>
      <c r="H264" s="2" t="s">
        <v>85</v>
      </c>
      <c r="I264" s="1" t="s">
        <v>0</v>
      </c>
      <c r="J264" s="1" t="s">
        <v>9</v>
      </c>
      <c r="K264" s="1">
        <v>7</v>
      </c>
      <c r="L264" s="1">
        <v>747.5</v>
      </c>
      <c r="M264" s="28">
        <v>30502.5</v>
      </c>
      <c r="N264" s="39">
        <f>Data[[#This Row],[Gross Wages]]/Data[[#This Row],[No. of Hours Worked]]</f>
        <v>40.80602006688963</v>
      </c>
      <c r="P264" s="33"/>
    </row>
    <row r="265" spans="1:16" x14ac:dyDescent="0.3">
      <c r="A265" s="15" t="s">
        <v>49</v>
      </c>
      <c r="B265" s="1">
        <v>2024</v>
      </c>
      <c r="C265" s="10">
        <v>45566</v>
      </c>
      <c r="D265" s="2" t="s">
        <v>77</v>
      </c>
      <c r="E265" s="1" t="s">
        <v>66</v>
      </c>
      <c r="F265" s="1" t="s">
        <v>67</v>
      </c>
      <c r="G265" s="1" t="s">
        <v>68</v>
      </c>
      <c r="H265" s="2" t="s">
        <v>69</v>
      </c>
      <c r="I265" s="1" t="s">
        <v>0</v>
      </c>
      <c r="J265" s="1" t="s">
        <v>9</v>
      </c>
      <c r="K265" s="1">
        <v>7</v>
      </c>
      <c r="L265" s="1">
        <v>1037.5</v>
      </c>
      <c r="M265" s="16">
        <v>74866</v>
      </c>
      <c r="N265" s="39">
        <f>Data[[#This Row],[Gross Wages]]/Data[[#This Row],[No. of Hours Worked]]</f>
        <v>72.16</v>
      </c>
      <c r="P265" s="33"/>
    </row>
    <row r="266" spans="1:16" x14ac:dyDescent="0.3">
      <c r="A266" s="15" t="s">
        <v>49</v>
      </c>
      <c r="B266" s="1">
        <v>2024</v>
      </c>
      <c r="C266" s="10">
        <v>45566</v>
      </c>
      <c r="D266" s="2" t="s">
        <v>77</v>
      </c>
      <c r="E266" s="1" t="s">
        <v>66</v>
      </c>
      <c r="F266" s="1" t="s">
        <v>67</v>
      </c>
      <c r="G266" s="1" t="s">
        <v>68</v>
      </c>
      <c r="H266" s="2" t="s">
        <v>69</v>
      </c>
      <c r="I266" s="1" t="s">
        <v>0</v>
      </c>
      <c r="J266" s="1" t="s">
        <v>10</v>
      </c>
      <c r="K266" s="1">
        <v>0</v>
      </c>
      <c r="L266" s="1">
        <v>0</v>
      </c>
      <c r="M266" s="16"/>
      <c r="N266" s="39" t="e">
        <f>Data[[#This Row],[Gross Wages]]/Data[[#This Row],[No. of Hours Worked]]</f>
        <v>#DIV/0!</v>
      </c>
      <c r="P266" s="33"/>
    </row>
    <row r="267" spans="1:16" x14ac:dyDescent="0.3">
      <c r="A267" s="15" t="s">
        <v>52</v>
      </c>
      <c r="B267" s="1">
        <v>2024</v>
      </c>
      <c r="C267" s="10">
        <v>45566</v>
      </c>
      <c r="D267" s="2" t="s">
        <v>77</v>
      </c>
      <c r="E267" s="1" t="s">
        <v>66</v>
      </c>
      <c r="F267" s="1" t="s">
        <v>90</v>
      </c>
      <c r="G267" s="1" t="s">
        <v>68</v>
      </c>
      <c r="H267" s="2" t="s">
        <v>69</v>
      </c>
      <c r="I267" s="1" t="s">
        <v>0</v>
      </c>
      <c r="J267" s="1" t="s">
        <v>9</v>
      </c>
      <c r="K267" s="1">
        <v>2</v>
      </c>
      <c r="L267" s="1">
        <v>192</v>
      </c>
      <c r="M267" s="16">
        <v>10953.52</v>
      </c>
      <c r="N267" s="39">
        <f>Data[[#This Row],[Gross Wages]]/Data[[#This Row],[No. of Hours Worked]]</f>
        <v>57.049583333333338</v>
      </c>
      <c r="P267" s="33"/>
    </row>
    <row r="268" spans="1:16" x14ac:dyDescent="0.3">
      <c r="A268" s="15" t="s">
        <v>52</v>
      </c>
      <c r="B268" s="1">
        <v>2024</v>
      </c>
      <c r="C268" s="10">
        <v>45566</v>
      </c>
      <c r="D268" s="2" t="s">
        <v>77</v>
      </c>
      <c r="E268" s="1" t="s">
        <v>66</v>
      </c>
      <c r="F268" s="1" t="s">
        <v>90</v>
      </c>
      <c r="G268" s="1" t="s">
        <v>68</v>
      </c>
      <c r="H268" s="2" t="s">
        <v>69</v>
      </c>
      <c r="I268" s="1" t="s">
        <v>0</v>
      </c>
      <c r="J268" s="1" t="s">
        <v>10</v>
      </c>
      <c r="K268" s="1">
        <v>0</v>
      </c>
      <c r="L268" s="1">
        <v>0</v>
      </c>
      <c r="M268" s="16"/>
      <c r="N268" s="39" t="e">
        <f>Data[[#This Row],[Gross Wages]]/Data[[#This Row],[No. of Hours Worked]]</f>
        <v>#DIV/0!</v>
      </c>
      <c r="P268" s="33"/>
    </row>
    <row r="269" spans="1:16" x14ac:dyDescent="0.3">
      <c r="A269" s="15" t="s">
        <v>144</v>
      </c>
      <c r="B269" s="1">
        <v>2024</v>
      </c>
      <c r="C269" s="10">
        <v>45566</v>
      </c>
      <c r="D269" s="34" t="s">
        <v>77</v>
      </c>
      <c r="E269" s="1" t="s">
        <v>66</v>
      </c>
      <c r="F269" s="1" t="s">
        <v>95</v>
      </c>
      <c r="G269" s="1" t="s">
        <v>68</v>
      </c>
      <c r="H269" s="2" t="s">
        <v>96</v>
      </c>
      <c r="I269" s="1" t="s">
        <v>3</v>
      </c>
      <c r="J269" s="1" t="s">
        <v>9</v>
      </c>
      <c r="K269" s="1">
        <v>1</v>
      </c>
      <c r="L269" s="1">
        <v>8</v>
      </c>
      <c r="M269" s="16">
        <v>800</v>
      </c>
      <c r="N269" s="39">
        <f>Data[[#This Row],[Gross Wages]]/Data[[#This Row],[No. of Hours Worked]]</f>
        <v>100</v>
      </c>
      <c r="P269" s="33"/>
    </row>
    <row r="270" spans="1:16" x14ac:dyDescent="0.3">
      <c r="A270" s="15" t="s">
        <v>144</v>
      </c>
      <c r="B270" s="1">
        <v>2024</v>
      </c>
      <c r="C270" s="10">
        <v>45566</v>
      </c>
      <c r="D270" s="34" t="s">
        <v>77</v>
      </c>
      <c r="E270" s="1" t="s">
        <v>66</v>
      </c>
      <c r="F270" s="1" t="s">
        <v>145</v>
      </c>
      <c r="G270" s="1" t="s">
        <v>68</v>
      </c>
      <c r="H270" s="2" t="s">
        <v>146</v>
      </c>
      <c r="I270" s="1" t="s">
        <v>1</v>
      </c>
      <c r="J270" s="1" t="s">
        <v>9</v>
      </c>
      <c r="K270" s="1">
        <v>2</v>
      </c>
      <c r="L270" s="1">
        <v>72</v>
      </c>
      <c r="M270" s="16">
        <v>3161.2</v>
      </c>
      <c r="N270" s="39">
        <f>Data[[#This Row],[Gross Wages]]/Data[[#This Row],[No. of Hours Worked]]</f>
        <v>43.905555555555551</v>
      </c>
      <c r="P270" s="33"/>
    </row>
    <row r="271" spans="1:16" x14ac:dyDescent="0.3">
      <c r="A271" s="15" t="s">
        <v>144</v>
      </c>
      <c r="B271" s="1">
        <v>2024</v>
      </c>
      <c r="C271" s="10">
        <v>45566</v>
      </c>
      <c r="D271" s="34" t="s">
        <v>77</v>
      </c>
      <c r="E271" s="1" t="s">
        <v>66</v>
      </c>
      <c r="F271" s="1" t="s">
        <v>145</v>
      </c>
      <c r="G271" s="1" t="s">
        <v>68</v>
      </c>
      <c r="H271" s="2" t="s">
        <v>146</v>
      </c>
      <c r="I271" s="1" t="s">
        <v>111</v>
      </c>
      <c r="J271" s="1" t="s">
        <v>9</v>
      </c>
      <c r="K271" s="1">
        <v>2</v>
      </c>
      <c r="L271" s="1">
        <v>190</v>
      </c>
      <c r="M271" s="16">
        <v>9364.4</v>
      </c>
      <c r="N271" s="39">
        <f>Data[[#This Row],[Gross Wages]]/Data[[#This Row],[No. of Hours Worked]]</f>
        <v>49.286315789473683</v>
      </c>
      <c r="P271" s="33"/>
    </row>
    <row r="272" spans="1:16" x14ac:dyDescent="0.3">
      <c r="A272" s="15" t="s">
        <v>144</v>
      </c>
      <c r="B272" s="1">
        <v>2024</v>
      </c>
      <c r="C272" s="10">
        <v>45566</v>
      </c>
      <c r="D272" s="34" t="s">
        <v>77</v>
      </c>
      <c r="E272" s="1" t="s">
        <v>66</v>
      </c>
      <c r="F272" s="1" t="s">
        <v>95</v>
      </c>
      <c r="G272" s="1" t="s">
        <v>68</v>
      </c>
      <c r="H272" s="2" t="s">
        <v>96</v>
      </c>
      <c r="I272" s="1" t="s">
        <v>0</v>
      </c>
      <c r="J272" s="1" t="s">
        <v>9</v>
      </c>
      <c r="K272" s="1">
        <v>3</v>
      </c>
      <c r="L272" s="1">
        <v>171</v>
      </c>
      <c r="M272" s="28">
        <v>9522.32</v>
      </c>
      <c r="N272" s="39">
        <f>Data[[#This Row],[Gross Wages]]/Data[[#This Row],[No. of Hours Worked]]</f>
        <v>55.686081871345024</v>
      </c>
      <c r="P272" s="33"/>
    </row>
    <row r="273" spans="1:16" x14ac:dyDescent="0.3">
      <c r="A273" s="15" t="s">
        <v>144</v>
      </c>
      <c r="B273" s="1">
        <v>2024</v>
      </c>
      <c r="C273" s="10">
        <v>45566</v>
      </c>
      <c r="D273" s="34" t="s">
        <v>77</v>
      </c>
      <c r="E273" s="1" t="s">
        <v>66</v>
      </c>
      <c r="F273" s="1" t="s">
        <v>145</v>
      </c>
      <c r="G273" s="1" t="s">
        <v>68</v>
      </c>
      <c r="H273" s="2" t="s">
        <v>146</v>
      </c>
      <c r="I273" s="1" t="s">
        <v>0</v>
      </c>
      <c r="J273" s="1" t="s">
        <v>9</v>
      </c>
      <c r="K273" s="1">
        <v>2</v>
      </c>
      <c r="L273" s="1">
        <v>227</v>
      </c>
      <c r="M273" s="16">
        <v>11332.4</v>
      </c>
      <c r="N273" s="39">
        <f>Data[[#This Row],[Gross Wages]]/Data[[#This Row],[No. of Hours Worked]]</f>
        <v>49.922466960352423</v>
      </c>
      <c r="P273" s="33"/>
    </row>
    <row r="274" spans="1:16" x14ac:dyDescent="0.3">
      <c r="A274" s="15" t="s">
        <v>132</v>
      </c>
      <c r="B274" s="1">
        <v>2024</v>
      </c>
      <c r="C274" s="10">
        <v>45566</v>
      </c>
      <c r="D274" s="34" t="s">
        <v>77</v>
      </c>
      <c r="E274" s="1" t="s">
        <v>66</v>
      </c>
      <c r="F274" s="1" t="s">
        <v>125</v>
      </c>
      <c r="G274" s="1" t="s">
        <v>68</v>
      </c>
      <c r="H274" s="2" t="s">
        <v>126</v>
      </c>
      <c r="I274" s="1" t="s">
        <v>2</v>
      </c>
      <c r="J274" s="1" t="s">
        <v>9</v>
      </c>
      <c r="K274" s="1">
        <v>4</v>
      </c>
      <c r="L274" s="1">
        <v>72.5</v>
      </c>
      <c r="M274" s="28">
        <v>2126.3200000000002</v>
      </c>
      <c r="N274" s="39">
        <f>Data[[#This Row],[Gross Wages]]/Data[[#This Row],[No. of Hours Worked]]</f>
        <v>29.328551724137935</v>
      </c>
      <c r="P274" s="33"/>
    </row>
    <row r="275" spans="1:16" x14ac:dyDescent="0.3">
      <c r="A275" s="15" t="s">
        <v>132</v>
      </c>
      <c r="B275" s="1">
        <v>2024</v>
      </c>
      <c r="C275" s="10">
        <v>45566</v>
      </c>
      <c r="D275" s="34" t="s">
        <v>77</v>
      </c>
      <c r="E275" s="1" t="s">
        <v>66</v>
      </c>
      <c r="F275" s="1" t="s">
        <v>133</v>
      </c>
      <c r="G275" s="1" t="s">
        <v>68</v>
      </c>
      <c r="H275" s="2" t="s">
        <v>134</v>
      </c>
      <c r="I275" s="1" t="s">
        <v>0</v>
      </c>
      <c r="J275" s="1" t="s">
        <v>9</v>
      </c>
      <c r="K275" s="1">
        <v>5</v>
      </c>
      <c r="L275" s="1">
        <v>94</v>
      </c>
      <c r="M275" s="28">
        <v>2639.73</v>
      </c>
      <c r="N275" s="39">
        <f>Data[[#This Row],[Gross Wages]]/Data[[#This Row],[No. of Hours Worked]]</f>
        <v>28.082234042553193</v>
      </c>
      <c r="P275" s="33"/>
    </row>
    <row r="276" spans="1:16" x14ac:dyDescent="0.3">
      <c r="A276" s="15" t="s">
        <v>132</v>
      </c>
      <c r="B276" s="1">
        <v>2024</v>
      </c>
      <c r="C276" s="10">
        <v>45566</v>
      </c>
      <c r="D276" s="34" t="s">
        <v>77</v>
      </c>
      <c r="E276" s="1" t="s">
        <v>66</v>
      </c>
      <c r="F276" s="1" t="s">
        <v>125</v>
      </c>
      <c r="G276" s="1" t="s">
        <v>68</v>
      </c>
      <c r="H276" s="2" t="s">
        <v>126</v>
      </c>
      <c r="I276" s="1" t="s">
        <v>0</v>
      </c>
      <c r="J276" s="1" t="s">
        <v>9</v>
      </c>
      <c r="K276" s="1">
        <v>12</v>
      </c>
      <c r="L276" s="1">
        <v>926.5</v>
      </c>
      <c r="M276" s="28">
        <v>30686.3</v>
      </c>
      <c r="N276" s="39">
        <f>Data[[#This Row],[Gross Wages]]/Data[[#This Row],[No. of Hours Worked]]</f>
        <v>33.120669185105235</v>
      </c>
      <c r="P276" s="33"/>
    </row>
    <row r="277" spans="1:16" x14ac:dyDescent="0.3">
      <c r="A277" s="15" t="s">
        <v>39</v>
      </c>
      <c r="B277" s="1">
        <v>2024</v>
      </c>
      <c r="C277" s="10">
        <v>45597</v>
      </c>
      <c r="D277" s="2" t="s">
        <v>77</v>
      </c>
      <c r="E277" s="1" t="s">
        <v>66</v>
      </c>
      <c r="F277" s="1" t="s">
        <v>78</v>
      </c>
      <c r="G277" s="1" t="s">
        <v>68</v>
      </c>
      <c r="H277" s="2" t="s">
        <v>79</v>
      </c>
      <c r="I277" s="1" t="s">
        <v>0</v>
      </c>
      <c r="J277" s="1" t="s">
        <v>9</v>
      </c>
      <c r="K277" s="1">
        <v>1</v>
      </c>
      <c r="L277" s="1">
        <v>3</v>
      </c>
      <c r="M277" s="16">
        <v>120.45</v>
      </c>
      <c r="N277" s="39">
        <f>Data[[#This Row],[Gross Wages]]/Data[[#This Row],[No. of Hours Worked]]</f>
        <v>40.15</v>
      </c>
      <c r="P277" s="33"/>
    </row>
    <row r="278" spans="1:16" x14ac:dyDescent="0.3">
      <c r="A278" s="15" t="s">
        <v>39</v>
      </c>
      <c r="B278" s="1">
        <v>2024</v>
      </c>
      <c r="C278" s="10">
        <v>45597</v>
      </c>
      <c r="D278" s="2" t="s">
        <v>77</v>
      </c>
      <c r="E278" s="1" t="s">
        <v>66</v>
      </c>
      <c r="F278" s="1" t="s">
        <v>78</v>
      </c>
      <c r="G278" s="1" t="s">
        <v>68</v>
      </c>
      <c r="H278" s="2" t="s">
        <v>79</v>
      </c>
      <c r="I278" s="1" t="s">
        <v>0</v>
      </c>
      <c r="J278" s="1" t="s">
        <v>10</v>
      </c>
      <c r="K278" s="1">
        <v>0</v>
      </c>
      <c r="L278" s="1">
        <v>0</v>
      </c>
      <c r="M278" s="16"/>
      <c r="N278" s="39" t="e">
        <f>Data[[#This Row],[Gross Wages]]/Data[[#This Row],[No. of Hours Worked]]</f>
        <v>#DIV/0!</v>
      </c>
      <c r="P278" s="33"/>
    </row>
    <row r="279" spans="1:16" x14ac:dyDescent="0.3">
      <c r="A279" s="15" t="s">
        <v>40</v>
      </c>
      <c r="B279" s="1">
        <v>2024</v>
      </c>
      <c r="C279" s="10">
        <v>45597</v>
      </c>
      <c r="D279" s="2" t="s">
        <v>77</v>
      </c>
      <c r="E279" s="1" t="s">
        <v>66</v>
      </c>
      <c r="F279" s="1" t="s">
        <v>91</v>
      </c>
      <c r="G279" s="1" t="s">
        <v>68</v>
      </c>
      <c r="H279" s="2" t="s">
        <v>92</v>
      </c>
      <c r="I279" s="1" t="s">
        <v>1</v>
      </c>
      <c r="J279" s="1" t="s">
        <v>9</v>
      </c>
      <c r="K279" s="1">
        <v>1</v>
      </c>
      <c r="L279" s="1">
        <v>115</v>
      </c>
      <c r="M279" s="16">
        <v>3984.75</v>
      </c>
      <c r="N279" s="39">
        <f>Data[[#This Row],[Gross Wages]]/Data[[#This Row],[No. of Hours Worked]]</f>
        <v>34.65</v>
      </c>
      <c r="P279" s="33"/>
    </row>
    <row r="280" spans="1:16" x14ac:dyDescent="0.3">
      <c r="A280" s="15" t="s">
        <v>40</v>
      </c>
      <c r="B280" s="1">
        <v>2024</v>
      </c>
      <c r="C280" s="10">
        <v>45597</v>
      </c>
      <c r="D280" s="2" t="s">
        <v>77</v>
      </c>
      <c r="E280" s="1" t="s">
        <v>66</v>
      </c>
      <c r="F280" s="1" t="s">
        <v>78</v>
      </c>
      <c r="G280" s="1" t="s">
        <v>68</v>
      </c>
      <c r="H280" s="2" t="s">
        <v>79</v>
      </c>
      <c r="I280" s="1" t="s">
        <v>0</v>
      </c>
      <c r="J280" s="1" t="s">
        <v>9</v>
      </c>
      <c r="K280" s="1">
        <v>2</v>
      </c>
      <c r="L280" s="1">
        <v>135.5</v>
      </c>
      <c r="M280" s="16">
        <v>5314.61</v>
      </c>
      <c r="N280" s="39">
        <f>Data[[#This Row],[Gross Wages]]/Data[[#This Row],[No. of Hours Worked]]</f>
        <v>39.222214022140221</v>
      </c>
      <c r="P280" s="33"/>
    </row>
    <row r="281" spans="1:16" x14ac:dyDescent="0.3">
      <c r="A281" s="15" t="s">
        <v>40</v>
      </c>
      <c r="B281" s="1">
        <v>2024</v>
      </c>
      <c r="C281" s="10">
        <v>45597</v>
      </c>
      <c r="D281" s="2" t="s">
        <v>77</v>
      </c>
      <c r="E281" s="1" t="s">
        <v>66</v>
      </c>
      <c r="F281" s="1" t="s">
        <v>91</v>
      </c>
      <c r="G281" s="1" t="s">
        <v>68</v>
      </c>
      <c r="H281" s="2" t="s">
        <v>92</v>
      </c>
      <c r="I281" s="1" t="s">
        <v>0</v>
      </c>
      <c r="J281" s="1" t="s">
        <v>9</v>
      </c>
      <c r="K281" s="1">
        <v>3</v>
      </c>
      <c r="L281" s="1">
        <v>371.5</v>
      </c>
      <c r="M281" s="16">
        <v>12894.34</v>
      </c>
      <c r="N281" s="39">
        <f>Data[[#This Row],[Gross Wages]]/Data[[#This Row],[No. of Hours Worked]]</f>
        <v>34.708855989232838</v>
      </c>
      <c r="P281" s="33"/>
    </row>
    <row r="282" spans="1:16" x14ac:dyDescent="0.3">
      <c r="A282" s="15" t="s">
        <v>40</v>
      </c>
      <c r="B282" s="1">
        <v>2024</v>
      </c>
      <c r="C282" s="10">
        <v>45597</v>
      </c>
      <c r="D282" s="2" t="s">
        <v>77</v>
      </c>
      <c r="E282" s="1" t="s">
        <v>66</v>
      </c>
      <c r="F282" s="1" t="s">
        <v>91</v>
      </c>
      <c r="G282" s="1" t="s">
        <v>68</v>
      </c>
      <c r="H282" s="2" t="s">
        <v>92</v>
      </c>
      <c r="I282" s="1" t="s">
        <v>0</v>
      </c>
      <c r="J282" s="1" t="s">
        <v>10</v>
      </c>
      <c r="K282" s="1">
        <v>0</v>
      </c>
      <c r="L282" s="1">
        <v>0</v>
      </c>
      <c r="M282" s="16"/>
      <c r="N282" s="39" t="e">
        <f>Data[[#This Row],[Gross Wages]]/Data[[#This Row],[No. of Hours Worked]]</f>
        <v>#DIV/0!</v>
      </c>
      <c r="P282" s="33"/>
    </row>
    <row r="283" spans="1:16" x14ac:dyDescent="0.3">
      <c r="A283" s="15" t="s">
        <v>40</v>
      </c>
      <c r="B283" s="1">
        <v>2024</v>
      </c>
      <c r="C283" s="10">
        <v>45597</v>
      </c>
      <c r="D283" s="2" t="s">
        <v>77</v>
      </c>
      <c r="E283" s="1" t="s">
        <v>66</v>
      </c>
      <c r="F283" s="1" t="s">
        <v>91</v>
      </c>
      <c r="G283" s="1" t="s">
        <v>68</v>
      </c>
      <c r="H283" s="2" t="s">
        <v>92</v>
      </c>
      <c r="I283" s="1" t="s">
        <v>1</v>
      </c>
      <c r="J283" s="1" t="s">
        <v>10</v>
      </c>
      <c r="K283" s="1">
        <v>0</v>
      </c>
      <c r="L283" s="1">
        <v>0</v>
      </c>
      <c r="M283" s="16"/>
      <c r="N283" s="39" t="e">
        <f>Data[[#This Row],[Gross Wages]]/Data[[#This Row],[No. of Hours Worked]]</f>
        <v>#DIV/0!</v>
      </c>
      <c r="P283" s="33"/>
    </row>
    <row r="284" spans="1:16" x14ac:dyDescent="0.3">
      <c r="A284" s="15" t="s">
        <v>40</v>
      </c>
      <c r="B284" s="1">
        <v>2024</v>
      </c>
      <c r="C284" s="10">
        <v>45597</v>
      </c>
      <c r="D284" s="2" t="s">
        <v>77</v>
      </c>
      <c r="E284" s="1" t="s">
        <v>66</v>
      </c>
      <c r="F284" s="1" t="s">
        <v>78</v>
      </c>
      <c r="G284" s="1" t="s">
        <v>68</v>
      </c>
      <c r="H284" s="2" t="s">
        <v>79</v>
      </c>
      <c r="I284" s="1" t="s">
        <v>0</v>
      </c>
      <c r="J284" s="1" t="s">
        <v>10</v>
      </c>
      <c r="K284" s="1">
        <v>0</v>
      </c>
      <c r="L284" s="1">
        <v>0</v>
      </c>
      <c r="M284" s="16"/>
      <c r="N284" s="39" t="e">
        <f>Data[[#This Row],[Gross Wages]]/Data[[#This Row],[No. of Hours Worked]]</f>
        <v>#DIV/0!</v>
      </c>
      <c r="P284" s="33"/>
    </row>
    <row r="285" spans="1:16" x14ac:dyDescent="0.3">
      <c r="A285" s="15" t="s">
        <v>41</v>
      </c>
      <c r="B285" s="1">
        <v>2024</v>
      </c>
      <c r="C285" s="10">
        <v>45597</v>
      </c>
      <c r="D285" s="2" t="s">
        <v>77</v>
      </c>
      <c r="E285" s="1" t="s">
        <v>66</v>
      </c>
      <c r="F285" s="1" t="s">
        <v>93</v>
      </c>
      <c r="G285" s="1" t="s">
        <v>68</v>
      </c>
      <c r="H285" s="2" t="s">
        <v>94</v>
      </c>
      <c r="I285" s="1" t="s">
        <v>1</v>
      </c>
      <c r="J285" s="1" t="s">
        <v>9</v>
      </c>
      <c r="K285" s="1">
        <v>1</v>
      </c>
      <c r="L285" s="1">
        <v>8</v>
      </c>
      <c r="M285" s="16">
        <v>242.48</v>
      </c>
      <c r="N285" s="39">
        <f>Data[[#This Row],[Gross Wages]]/Data[[#This Row],[No. of Hours Worked]]</f>
        <v>30.31</v>
      </c>
      <c r="P285" s="33"/>
    </row>
    <row r="286" spans="1:16" x14ac:dyDescent="0.3">
      <c r="A286" s="15" t="s">
        <v>41</v>
      </c>
      <c r="B286" s="1">
        <v>2024</v>
      </c>
      <c r="C286" s="10">
        <v>45597</v>
      </c>
      <c r="D286" s="2" t="s">
        <v>77</v>
      </c>
      <c r="E286" s="1" t="s">
        <v>66</v>
      </c>
      <c r="F286" s="1" t="s">
        <v>72</v>
      </c>
      <c r="G286" s="1" t="s">
        <v>73</v>
      </c>
      <c r="H286" s="2" t="s">
        <v>74</v>
      </c>
      <c r="I286" s="1" t="s">
        <v>0</v>
      </c>
      <c r="J286" s="1" t="s">
        <v>9</v>
      </c>
      <c r="K286" s="1">
        <v>3</v>
      </c>
      <c r="L286" s="1">
        <v>24</v>
      </c>
      <c r="M286" s="16">
        <v>724</v>
      </c>
      <c r="N286" s="39">
        <f>Data[[#This Row],[Gross Wages]]/Data[[#This Row],[No. of Hours Worked]]</f>
        <v>30.166666666666668</v>
      </c>
      <c r="P286" s="33"/>
    </row>
    <row r="287" spans="1:16" x14ac:dyDescent="0.3">
      <c r="A287" s="15" t="s">
        <v>41</v>
      </c>
      <c r="B287" s="1">
        <v>2024</v>
      </c>
      <c r="C287" s="10">
        <v>45597</v>
      </c>
      <c r="D287" s="2" t="s">
        <v>77</v>
      </c>
      <c r="E287" s="1" t="s">
        <v>66</v>
      </c>
      <c r="F287" s="1" t="s">
        <v>93</v>
      </c>
      <c r="G287" s="1" t="s">
        <v>68</v>
      </c>
      <c r="H287" s="2" t="s">
        <v>94</v>
      </c>
      <c r="I287" s="1" t="s">
        <v>0</v>
      </c>
      <c r="J287" s="1" t="s">
        <v>9</v>
      </c>
      <c r="K287" s="1">
        <v>4</v>
      </c>
      <c r="L287" s="1">
        <v>34</v>
      </c>
      <c r="M287" s="16">
        <v>1287.1199999999999</v>
      </c>
      <c r="N287" s="39">
        <f>Data[[#This Row],[Gross Wages]]/Data[[#This Row],[No. of Hours Worked]]</f>
        <v>37.85647058823529</v>
      </c>
      <c r="P287" s="33"/>
    </row>
    <row r="288" spans="1:16" ht="15" thickBot="1" x14ac:dyDescent="0.35">
      <c r="A288" s="15" t="s">
        <v>41</v>
      </c>
      <c r="B288" s="1">
        <v>2024</v>
      </c>
      <c r="C288" s="10">
        <v>45597</v>
      </c>
      <c r="D288" s="2" t="s">
        <v>77</v>
      </c>
      <c r="E288" s="1" t="s">
        <v>66</v>
      </c>
      <c r="F288" s="1" t="s">
        <v>93</v>
      </c>
      <c r="G288" s="1" t="s">
        <v>68</v>
      </c>
      <c r="H288" s="2" t="s">
        <v>94</v>
      </c>
      <c r="I288" s="1" t="s">
        <v>0</v>
      </c>
      <c r="J288" s="1" t="s">
        <v>10</v>
      </c>
      <c r="K288" s="1">
        <v>0</v>
      </c>
      <c r="L288" s="1">
        <v>0</v>
      </c>
      <c r="M288" s="16"/>
      <c r="N288" s="39" t="e">
        <f>Data[[#This Row],[Gross Wages]]/Data[[#This Row],[No. of Hours Worked]]</f>
        <v>#DIV/0!</v>
      </c>
      <c r="P288" s="33"/>
    </row>
    <row r="289" spans="1:16" ht="15" thickBot="1" x14ac:dyDescent="0.35">
      <c r="A289" s="3" t="s">
        <v>41</v>
      </c>
      <c r="B289" s="17">
        <v>2024</v>
      </c>
      <c r="C289" s="11">
        <v>45597</v>
      </c>
      <c r="D289" s="35" t="s">
        <v>77</v>
      </c>
      <c r="E289" s="17" t="s">
        <v>66</v>
      </c>
      <c r="F289" s="17" t="s">
        <v>93</v>
      </c>
      <c r="G289" s="17" t="s">
        <v>68</v>
      </c>
      <c r="H289" s="35" t="s">
        <v>94</v>
      </c>
      <c r="I289" s="22" t="s">
        <v>1</v>
      </c>
      <c r="J289" s="22" t="s">
        <v>10</v>
      </c>
      <c r="K289" s="22">
        <v>0</v>
      </c>
      <c r="L289" s="22">
        <v>0</v>
      </c>
      <c r="M289" s="26"/>
      <c r="N289" s="39" t="e">
        <f>Data[[#This Row],[Gross Wages]]/Data[[#This Row],[No. of Hours Worked]]</f>
        <v>#DIV/0!</v>
      </c>
      <c r="P289" s="33"/>
    </row>
    <row r="290" spans="1:16" ht="15" thickBot="1" x14ac:dyDescent="0.35">
      <c r="A290" s="3" t="s">
        <v>41</v>
      </c>
      <c r="B290" s="17">
        <v>2024</v>
      </c>
      <c r="C290" s="11">
        <v>45597</v>
      </c>
      <c r="D290" s="35" t="s">
        <v>77</v>
      </c>
      <c r="E290" s="17" t="s">
        <v>66</v>
      </c>
      <c r="F290" s="17" t="s">
        <v>72</v>
      </c>
      <c r="G290" s="17" t="s">
        <v>73</v>
      </c>
      <c r="H290" s="35" t="s">
        <v>74</v>
      </c>
      <c r="I290" s="17" t="s">
        <v>0</v>
      </c>
      <c r="J290" s="17" t="s">
        <v>10</v>
      </c>
      <c r="K290" s="17">
        <v>0</v>
      </c>
      <c r="L290" s="17">
        <v>0</v>
      </c>
      <c r="M290" s="24"/>
      <c r="N290" s="39" t="e">
        <f>Data[[#This Row],[Gross Wages]]/Data[[#This Row],[No. of Hours Worked]]</f>
        <v>#DIV/0!</v>
      </c>
      <c r="P290" s="33"/>
    </row>
    <row r="291" spans="1:16" ht="15" thickBot="1" x14ac:dyDescent="0.35">
      <c r="A291" s="3" t="s">
        <v>43</v>
      </c>
      <c r="B291" s="17">
        <v>2024</v>
      </c>
      <c r="C291" s="10">
        <v>45597</v>
      </c>
      <c r="D291" s="2" t="s">
        <v>77</v>
      </c>
      <c r="E291" s="22" t="s">
        <v>80</v>
      </c>
      <c r="F291" s="22" t="s">
        <v>88</v>
      </c>
      <c r="G291" s="22" t="s">
        <v>68</v>
      </c>
      <c r="H291" s="37" t="s">
        <v>89</v>
      </c>
      <c r="I291" s="22" t="s">
        <v>0</v>
      </c>
      <c r="J291" s="22" t="s">
        <v>9</v>
      </c>
      <c r="K291" s="22">
        <v>6</v>
      </c>
      <c r="L291" s="22">
        <v>734</v>
      </c>
      <c r="M291" s="26">
        <v>27260</v>
      </c>
      <c r="N291" s="39">
        <f>Data[[#This Row],[Gross Wages]]/Data[[#This Row],[No. of Hours Worked]]</f>
        <v>37.138964577656672</v>
      </c>
      <c r="P291" s="33"/>
    </row>
    <row r="292" spans="1:16" ht="15" thickBot="1" x14ac:dyDescent="0.35">
      <c r="A292" s="3" t="s">
        <v>43</v>
      </c>
      <c r="B292" s="17">
        <v>2024</v>
      </c>
      <c r="C292" s="10">
        <v>45597</v>
      </c>
      <c r="D292" s="2" t="s">
        <v>77</v>
      </c>
      <c r="E292" s="22" t="s">
        <v>80</v>
      </c>
      <c r="F292" s="22" t="s">
        <v>88</v>
      </c>
      <c r="G292" s="22" t="s">
        <v>68</v>
      </c>
      <c r="H292" s="37" t="s">
        <v>89</v>
      </c>
      <c r="I292" s="22" t="s">
        <v>0</v>
      </c>
      <c r="J292" s="22" t="s">
        <v>10</v>
      </c>
      <c r="K292" s="22">
        <v>0</v>
      </c>
      <c r="L292" s="22">
        <v>0</v>
      </c>
      <c r="M292" s="26"/>
      <c r="N292" s="39" t="e">
        <f>Data[[#This Row],[Gross Wages]]/Data[[#This Row],[No. of Hours Worked]]</f>
        <v>#DIV/0!</v>
      </c>
      <c r="P292" s="33"/>
    </row>
    <row r="293" spans="1:16" ht="15" thickBot="1" x14ac:dyDescent="0.35">
      <c r="A293" s="15" t="s">
        <v>44</v>
      </c>
      <c r="B293" s="1">
        <v>2024</v>
      </c>
      <c r="C293" s="10">
        <v>45597</v>
      </c>
      <c r="D293" s="2" t="s">
        <v>77</v>
      </c>
      <c r="E293" s="22" t="s">
        <v>66</v>
      </c>
      <c r="F293" s="22" t="s">
        <v>75</v>
      </c>
      <c r="G293" s="22" t="s">
        <v>68</v>
      </c>
      <c r="H293" s="37" t="s">
        <v>76</v>
      </c>
      <c r="I293" s="1" t="s">
        <v>0</v>
      </c>
      <c r="J293" s="22" t="s">
        <v>9</v>
      </c>
      <c r="K293" s="22">
        <v>2</v>
      </c>
      <c r="L293" s="22">
        <v>64.5</v>
      </c>
      <c r="M293" s="26">
        <v>3559.89</v>
      </c>
      <c r="N293" s="39">
        <f>Data[[#This Row],[Gross Wages]]/Data[[#This Row],[No. of Hours Worked]]</f>
        <v>55.192093023255815</v>
      </c>
      <c r="P293" s="33"/>
    </row>
    <row r="294" spans="1:16" ht="15" thickBot="1" x14ac:dyDescent="0.35">
      <c r="A294" s="15" t="s">
        <v>44</v>
      </c>
      <c r="B294" s="1">
        <v>2024</v>
      </c>
      <c r="C294" s="10">
        <v>45597</v>
      </c>
      <c r="D294" s="2" t="s">
        <v>77</v>
      </c>
      <c r="E294" s="22" t="s">
        <v>66</v>
      </c>
      <c r="F294" s="22" t="s">
        <v>72</v>
      </c>
      <c r="G294" s="22" t="s">
        <v>73</v>
      </c>
      <c r="H294" s="37" t="s">
        <v>74</v>
      </c>
      <c r="I294" s="22" t="s">
        <v>0</v>
      </c>
      <c r="J294" s="22" t="s">
        <v>9</v>
      </c>
      <c r="K294" s="22">
        <v>3</v>
      </c>
      <c r="L294" s="22">
        <v>237.5</v>
      </c>
      <c r="M294" s="26">
        <v>7541.03</v>
      </c>
      <c r="N294" s="39">
        <f>Data[[#This Row],[Gross Wages]]/Data[[#This Row],[No. of Hours Worked]]</f>
        <v>31.751705263157895</v>
      </c>
      <c r="P294" s="33"/>
    </row>
    <row r="295" spans="1:16" ht="15" thickBot="1" x14ac:dyDescent="0.35">
      <c r="A295" s="15" t="s">
        <v>44</v>
      </c>
      <c r="B295" s="1">
        <v>2024</v>
      </c>
      <c r="C295" s="10">
        <v>45597</v>
      </c>
      <c r="D295" s="2" t="s">
        <v>77</v>
      </c>
      <c r="E295" s="22" t="s">
        <v>66</v>
      </c>
      <c r="F295" s="22" t="s">
        <v>95</v>
      </c>
      <c r="G295" s="22" t="s">
        <v>68</v>
      </c>
      <c r="H295" s="37" t="s">
        <v>96</v>
      </c>
      <c r="I295" s="1" t="s">
        <v>0</v>
      </c>
      <c r="J295" s="22" t="s">
        <v>9</v>
      </c>
      <c r="K295" s="22">
        <v>1</v>
      </c>
      <c r="L295" s="22">
        <v>165.5</v>
      </c>
      <c r="M295" s="26">
        <v>8121.75</v>
      </c>
      <c r="N295" s="39">
        <f>Data[[#This Row],[Gross Wages]]/Data[[#This Row],[No. of Hours Worked]]</f>
        <v>49.07401812688822</v>
      </c>
      <c r="P295" s="33"/>
    </row>
    <row r="296" spans="1:16" ht="15" thickBot="1" x14ac:dyDescent="0.35">
      <c r="A296" s="3" t="s">
        <v>44</v>
      </c>
      <c r="B296" s="1">
        <v>2024</v>
      </c>
      <c r="C296" s="10">
        <v>45597</v>
      </c>
      <c r="D296" s="2" t="s">
        <v>77</v>
      </c>
      <c r="E296" s="22" t="s">
        <v>66</v>
      </c>
      <c r="F296" s="22" t="s">
        <v>97</v>
      </c>
      <c r="G296" s="22" t="s">
        <v>68</v>
      </c>
      <c r="H296" s="37" t="s">
        <v>98</v>
      </c>
      <c r="I296" s="22" t="s">
        <v>0</v>
      </c>
      <c r="J296" s="22" t="s">
        <v>9</v>
      </c>
      <c r="K296" s="22">
        <v>2</v>
      </c>
      <c r="L296" s="22">
        <v>208.5</v>
      </c>
      <c r="M296" s="26">
        <v>8665.08</v>
      </c>
      <c r="N296" s="39">
        <f>Data[[#This Row],[Gross Wages]]/Data[[#This Row],[No. of Hours Worked]]</f>
        <v>41.559136690647485</v>
      </c>
      <c r="P296" s="33"/>
    </row>
    <row r="297" spans="1:16" ht="15" thickBot="1" x14ac:dyDescent="0.35">
      <c r="A297" s="15" t="s">
        <v>44</v>
      </c>
      <c r="B297" s="1">
        <v>2024</v>
      </c>
      <c r="C297" s="10">
        <v>45597</v>
      </c>
      <c r="D297" s="2" t="s">
        <v>77</v>
      </c>
      <c r="E297" s="22" t="s">
        <v>66</v>
      </c>
      <c r="F297" s="22" t="s">
        <v>95</v>
      </c>
      <c r="G297" s="22" t="s">
        <v>68</v>
      </c>
      <c r="H297" s="37" t="s">
        <v>96</v>
      </c>
      <c r="I297" s="22" t="s">
        <v>0</v>
      </c>
      <c r="J297" s="22" t="s">
        <v>10</v>
      </c>
      <c r="K297" s="22">
        <v>0</v>
      </c>
      <c r="L297" s="22">
        <v>0</v>
      </c>
      <c r="M297" s="26"/>
      <c r="N297" s="39" t="e">
        <f>Data[[#This Row],[Gross Wages]]/Data[[#This Row],[No. of Hours Worked]]</f>
        <v>#DIV/0!</v>
      </c>
      <c r="P297" s="33"/>
    </row>
    <row r="298" spans="1:16" ht="15" thickBot="1" x14ac:dyDescent="0.35">
      <c r="A298" s="15" t="s">
        <v>44</v>
      </c>
      <c r="B298" s="1">
        <v>2024</v>
      </c>
      <c r="C298" s="10">
        <v>45597</v>
      </c>
      <c r="D298" s="2" t="s">
        <v>77</v>
      </c>
      <c r="E298" s="22" t="s">
        <v>66</v>
      </c>
      <c r="F298" s="22" t="s">
        <v>97</v>
      </c>
      <c r="G298" s="22" t="s">
        <v>68</v>
      </c>
      <c r="H298" s="37" t="s">
        <v>98</v>
      </c>
      <c r="I298" s="22" t="s">
        <v>0</v>
      </c>
      <c r="J298" s="22" t="s">
        <v>10</v>
      </c>
      <c r="K298" s="22">
        <v>0</v>
      </c>
      <c r="L298" s="22">
        <v>0</v>
      </c>
      <c r="M298" s="26"/>
      <c r="N298" s="39" t="e">
        <f>Data[[#This Row],[Gross Wages]]/Data[[#This Row],[No. of Hours Worked]]</f>
        <v>#DIV/0!</v>
      </c>
      <c r="P298" s="33"/>
    </row>
    <row r="299" spans="1:16" ht="15" thickBot="1" x14ac:dyDescent="0.35">
      <c r="A299" s="15" t="s">
        <v>44</v>
      </c>
      <c r="B299" s="1">
        <v>2024</v>
      </c>
      <c r="C299" s="10">
        <v>45597</v>
      </c>
      <c r="D299" s="2" t="s">
        <v>77</v>
      </c>
      <c r="E299" s="22" t="s">
        <v>66</v>
      </c>
      <c r="F299" s="22" t="s">
        <v>72</v>
      </c>
      <c r="G299" s="22" t="s">
        <v>73</v>
      </c>
      <c r="H299" s="37" t="s">
        <v>74</v>
      </c>
      <c r="I299" s="22" t="s">
        <v>0</v>
      </c>
      <c r="J299" s="22" t="s">
        <v>10</v>
      </c>
      <c r="K299" s="22">
        <v>0</v>
      </c>
      <c r="L299" s="22">
        <v>0</v>
      </c>
      <c r="M299" s="26"/>
      <c r="N299" s="39" t="e">
        <f>Data[[#This Row],[Gross Wages]]/Data[[#This Row],[No. of Hours Worked]]</f>
        <v>#DIV/0!</v>
      </c>
      <c r="P299" s="33"/>
    </row>
    <row r="300" spans="1:16" ht="15" thickBot="1" x14ac:dyDescent="0.35">
      <c r="A300" s="15" t="s">
        <v>44</v>
      </c>
      <c r="B300" s="1">
        <v>2024</v>
      </c>
      <c r="C300" s="10">
        <v>45597</v>
      </c>
      <c r="D300" s="2" t="s">
        <v>77</v>
      </c>
      <c r="E300" s="1" t="s">
        <v>66</v>
      </c>
      <c r="F300" s="1" t="s">
        <v>75</v>
      </c>
      <c r="G300" s="1" t="s">
        <v>68</v>
      </c>
      <c r="H300" s="2" t="s">
        <v>76</v>
      </c>
      <c r="I300" s="1" t="s">
        <v>0</v>
      </c>
      <c r="J300" s="1" t="s">
        <v>10</v>
      </c>
      <c r="K300" s="1">
        <v>0</v>
      </c>
      <c r="L300" s="1">
        <v>0</v>
      </c>
      <c r="M300" s="16"/>
      <c r="N300" s="39" t="e">
        <f>Data[[#This Row],[Gross Wages]]/Data[[#This Row],[No. of Hours Worked]]</f>
        <v>#DIV/0!</v>
      </c>
      <c r="P300" s="33"/>
    </row>
    <row r="301" spans="1:16" ht="15" thickBot="1" x14ac:dyDescent="0.35">
      <c r="A301" s="15" t="s">
        <v>45</v>
      </c>
      <c r="B301" s="1">
        <v>2024</v>
      </c>
      <c r="C301" s="10">
        <v>45597</v>
      </c>
      <c r="D301" s="2" t="s">
        <v>77</v>
      </c>
      <c r="E301" s="22" t="s">
        <v>66</v>
      </c>
      <c r="F301" s="22" t="s">
        <v>67</v>
      </c>
      <c r="G301" s="22" t="s">
        <v>68</v>
      </c>
      <c r="H301" s="37" t="s">
        <v>69</v>
      </c>
      <c r="I301" s="22" t="s">
        <v>0</v>
      </c>
      <c r="J301" s="22" t="s">
        <v>10</v>
      </c>
      <c r="K301" s="22">
        <v>1</v>
      </c>
      <c r="L301" s="22">
        <v>136</v>
      </c>
      <c r="M301" s="26">
        <v>6134.96</v>
      </c>
      <c r="N301" s="39">
        <f>Data[[#This Row],[Gross Wages]]/Data[[#This Row],[No. of Hours Worked]]</f>
        <v>45.11</v>
      </c>
      <c r="P301" s="33"/>
    </row>
    <row r="302" spans="1:16" ht="15" thickBot="1" x14ac:dyDescent="0.35">
      <c r="A302" s="15" t="s">
        <v>45</v>
      </c>
      <c r="B302" s="1">
        <v>2024</v>
      </c>
      <c r="C302" s="10">
        <v>45597</v>
      </c>
      <c r="D302" s="2" t="s">
        <v>77</v>
      </c>
      <c r="E302" s="22" t="s">
        <v>66</v>
      </c>
      <c r="F302" s="22" t="s">
        <v>67</v>
      </c>
      <c r="G302" s="22" t="s">
        <v>68</v>
      </c>
      <c r="H302" s="37" t="s">
        <v>69</v>
      </c>
      <c r="I302" s="22" t="s">
        <v>0</v>
      </c>
      <c r="J302" s="22" t="s">
        <v>9</v>
      </c>
      <c r="K302" s="22">
        <v>6</v>
      </c>
      <c r="L302" s="22">
        <v>838</v>
      </c>
      <c r="M302" s="26">
        <v>45345.39</v>
      </c>
      <c r="N302" s="39">
        <f>Data[[#This Row],[Gross Wages]]/Data[[#This Row],[No. of Hours Worked]]</f>
        <v>54.111443914081143</v>
      </c>
      <c r="P302" s="33"/>
    </row>
    <row r="303" spans="1:16" ht="15" thickBot="1" x14ac:dyDescent="0.35">
      <c r="A303" s="15" t="s">
        <v>45</v>
      </c>
      <c r="B303" s="1">
        <v>2024</v>
      </c>
      <c r="C303" s="10">
        <v>45597</v>
      </c>
      <c r="D303" s="2" t="s">
        <v>77</v>
      </c>
      <c r="E303" s="22" t="s">
        <v>66</v>
      </c>
      <c r="F303" s="22" t="s">
        <v>67</v>
      </c>
      <c r="G303" s="22" t="s">
        <v>68</v>
      </c>
      <c r="H303" s="37" t="s">
        <v>69</v>
      </c>
      <c r="I303" s="1" t="s">
        <v>0</v>
      </c>
      <c r="J303" s="22" t="s">
        <v>10</v>
      </c>
      <c r="K303" s="22">
        <v>0</v>
      </c>
      <c r="L303" s="22">
        <v>0</v>
      </c>
      <c r="M303" s="26"/>
      <c r="N303" s="39" t="e">
        <f>Data[[#This Row],[Gross Wages]]/Data[[#This Row],[No. of Hours Worked]]</f>
        <v>#DIV/0!</v>
      </c>
      <c r="P303" s="33"/>
    </row>
    <row r="304" spans="1:16" ht="15" thickBot="1" x14ac:dyDescent="0.35">
      <c r="A304" s="15" t="s">
        <v>124</v>
      </c>
      <c r="B304" s="1">
        <v>2024</v>
      </c>
      <c r="C304" s="10">
        <v>45597</v>
      </c>
      <c r="D304" s="34" t="s">
        <v>77</v>
      </c>
      <c r="E304" s="22" t="s">
        <v>66</v>
      </c>
      <c r="F304" s="22" t="s">
        <v>125</v>
      </c>
      <c r="G304" s="22" t="s">
        <v>68</v>
      </c>
      <c r="H304" s="37" t="s">
        <v>126</v>
      </c>
      <c r="I304" s="22" t="s">
        <v>0</v>
      </c>
      <c r="J304" s="22" t="s">
        <v>9</v>
      </c>
      <c r="K304" s="22">
        <v>2</v>
      </c>
      <c r="L304" s="22">
        <v>44</v>
      </c>
      <c r="M304" s="38">
        <v>2324.96</v>
      </c>
      <c r="N304" s="39">
        <f>Data[[#This Row],[Gross Wages]]/Data[[#This Row],[No. of Hours Worked]]</f>
        <v>52.84</v>
      </c>
      <c r="P304" s="33"/>
    </row>
    <row r="305" spans="1:16" ht="15" thickBot="1" x14ac:dyDescent="0.35">
      <c r="A305" s="15" t="s">
        <v>102</v>
      </c>
      <c r="B305" s="1">
        <v>2024</v>
      </c>
      <c r="C305" s="10">
        <v>45597</v>
      </c>
      <c r="D305" s="2" t="s">
        <v>77</v>
      </c>
      <c r="E305" s="45" t="s">
        <v>66</v>
      </c>
      <c r="F305" s="45" t="s">
        <v>84</v>
      </c>
      <c r="G305" s="47" t="s">
        <v>68</v>
      </c>
      <c r="H305" s="49" t="s">
        <v>85</v>
      </c>
      <c r="I305" s="72" t="s">
        <v>0</v>
      </c>
      <c r="J305" s="72" t="s">
        <v>9</v>
      </c>
      <c r="K305" s="72">
        <v>1</v>
      </c>
      <c r="L305" s="72">
        <v>143</v>
      </c>
      <c r="M305" s="73">
        <v>6006</v>
      </c>
      <c r="N305" s="39">
        <f>Data[[#This Row],[Gross Wages]]/Data[[#This Row],[No. of Hours Worked]]</f>
        <v>42</v>
      </c>
      <c r="P305" s="33"/>
    </row>
    <row r="306" spans="1:16" ht="15" thickBot="1" x14ac:dyDescent="0.35">
      <c r="A306" s="15" t="s">
        <v>46</v>
      </c>
      <c r="B306" s="1">
        <v>2024</v>
      </c>
      <c r="C306" s="10">
        <v>45597</v>
      </c>
      <c r="D306" s="2" t="s">
        <v>77</v>
      </c>
      <c r="E306" s="22" t="s">
        <v>66</v>
      </c>
      <c r="F306" s="22" t="s">
        <v>72</v>
      </c>
      <c r="G306" s="22" t="s">
        <v>73</v>
      </c>
      <c r="H306" s="37" t="s">
        <v>74</v>
      </c>
      <c r="I306" s="1" t="s">
        <v>0</v>
      </c>
      <c r="J306" s="22" t="s">
        <v>9</v>
      </c>
      <c r="K306" s="22">
        <v>1</v>
      </c>
      <c r="L306" s="22">
        <v>8</v>
      </c>
      <c r="M306" s="26">
        <v>376.16</v>
      </c>
      <c r="N306" s="39">
        <f>Data[[#This Row],[Gross Wages]]/Data[[#This Row],[No. of Hours Worked]]</f>
        <v>47.02</v>
      </c>
      <c r="P306" s="33"/>
    </row>
    <row r="307" spans="1:16" ht="15" thickBot="1" x14ac:dyDescent="0.35">
      <c r="A307" s="15" t="s">
        <v>46</v>
      </c>
      <c r="B307" s="1">
        <v>2024</v>
      </c>
      <c r="C307" s="10">
        <v>45597</v>
      </c>
      <c r="D307" s="2" t="s">
        <v>77</v>
      </c>
      <c r="E307" s="22" t="s">
        <v>66</v>
      </c>
      <c r="F307" s="22" t="s">
        <v>70</v>
      </c>
      <c r="G307" s="22" t="s">
        <v>68</v>
      </c>
      <c r="H307" s="37" t="s">
        <v>71</v>
      </c>
      <c r="I307" s="22" t="s">
        <v>1</v>
      </c>
      <c r="J307" s="22" t="s">
        <v>9</v>
      </c>
      <c r="K307" s="22">
        <v>1</v>
      </c>
      <c r="L307" s="22">
        <v>72</v>
      </c>
      <c r="M307" s="26">
        <v>3787.2</v>
      </c>
      <c r="N307" s="39">
        <f>Data[[#This Row],[Gross Wages]]/Data[[#This Row],[No. of Hours Worked]]</f>
        <v>52.599999999999994</v>
      </c>
      <c r="P307" s="33"/>
    </row>
    <row r="308" spans="1:16" x14ac:dyDescent="0.3">
      <c r="A308" s="15" t="s">
        <v>46</v>
      </c>
      <c r="B308" s="1">
        <v>2024</v>
      </c>
      <c r="C308" s="10">
        <v>45597</v>
      </c>
      <c r="D308" s="2" t="s">
        <v>77</v>
      </c>
      <c r="E308" s="1" t="s">
        <v>66</v>
      </c>
      <c r="F308" s="1" t="s">
        <v>70</v>
      </c>
      <c r="G308" s="1" t="s">
        <v>68</v>
      </c>
      <c r="H308" s="2" t="s">
        <v>71</v>
      </c>
      <c r="I308" s="1" t="s">
        <v>0</v>
      </c>
      <c r="J308" s="1" t="s">
        <v>9</v>
      </c>
      <c r="K308" s="1">
        <v>3</v>
      </c>
      <c r="L308" s="1">
        <v>320</v>
      </c>
      <c r="M308" s="16">
        <v>17273.599999999999</v>
      </c>
      <c r="N308" s="39">
        <f>Data[[#This Row],[Gross Wages]]/Data[[#This Row],[No. of Hours Worked]]</f>
        <v>53.98</v>
      </c>
      <c r="P308" s="33"/>
    </row>
    <row r="309" spans="1:16" x14ac:dyDescent="0.3">
      <c r="A309" s="15" t="s">
        <v>46</v>
      </c>
      <c r="B309" s="1">
        <v>2024</v>
      </c>
      <c r="C309" s="10">
        <v>45597</v>
      </c>
      <c r="D309" s="2" t="s">
        <v>77</v>
      </c>
      <c r="E309" s="1" t="s">
        <v>66</v>
      </c>
      <c r="F309" s="1" t="s">
        <v>70</v>
      </c>
      <c r="G309" s="1" t="s">
        <v>68</v>
      </c>
      <c r="H309" s="2" t="s">
        <v>71</v>
      </c>
      <c r="I309" s="1" t="s">
        <v>1</v>
      </c>
      <c r="J309" s="1" t="s">
        <v>10</v>
      </c>
      <c r="K309" s="1">
        <v>0</v>
      </c>
      <c r="L309" s="1">
        <v>0</v>
      </c>
      <c r="M309" s="16"/>
      <c r="N309" s="39" t="e">
        <f>Data[[#This Row],[Gross Wages]]/Data[[#This Row],[No. of Hours Worked]]</f>
        <v>#DIV/0!</v>
      </c>
      <c r="P309" s="33"/>
    </row>
    <row r="310" spans="1:16" x14ac:dyDescent="0.3">
      <c r="A310" s="15" t="s">
        <v>46</v>
      </c>
      <c r="B310" s="1">
        <v>2024</v>
      </c>
      <c r="C310" s="10">
        <v>45597</v>
      </c>
      <c r="D310" s="2" t="s">
        <v>77</v>
      </c>
      <c r="E310" s="1" t="s">
        <v>66</v>
      </c>
      <c r="F310" s="1" t="s">
        <v>70</v>
      </c>
      <c r="G310" s="1" t="s">
        <v>68</v>
      </c>
      <c r="H310" s="2" t="s">
        <v>71</v>
      </c>
      <c r="I310" s="1" t="s">
        <v>0</v>
      </c>
      <c r="J310" s="1" t="s">
        <v>10</v>
      </c>
      <c r="K310" s="1">
        <v>0</v>
      </c>
      <c r="L310" s="1">
        <v>0</v>
      </c>
      <c r="M310" s="16"/>
      <c r="N310" s="39" t="e">
        <f>Data[[#This Row],[Gross Wages]]/Data[[#This Row],[No. of Hours Worked]]</f>
        <v>#DIV/0!</v>
      </c>
      <c r="P310" s="33"/>
    </row>
    <row r="311" spans="1:16" x14ac:dyDescent="0.3">
      <c r="A311" s="15" t="s">
        <v>46</v>
      </c>
      <c r="B311" s="1">
        <v>2024</v>
      </c>
      <c r="C311" s="10">
        <v>45597</v>
      </c>
      <c r="D311" s="2" t="s">
        <v>77</v>
      </c>
      <c r="E311" s="1" t="s">
        <v>66</v>
      </c>
      <c r="F311" s="1" t="s">
        <v>72</v>
      </c>
      <c r="G311" s="1" t="s">
        <v>73</v>
      </c>
      <c r="H311" s="2" t="s">
        <v>74</v>
      </c>
      <c r="I311" s="1" t="s">
        <v>0</v>
      </c>
      <c r="J311" s="1" t="s">
        <v>10</v>
      </c>
      <c r="K311" s="1">
        <v>0</v>
      </c>
      <c r="L311" s="1">
        <v>0</v>
      </c>
      <c r="M311" s="16"/>
      <c r="N311" s="39" t="e">
        <f>Data[[#This Row],[Gross Wages]]/Data[[#This Row],[No. of Hours Worked]]</f>
        <v>#DIV/0!</v>
      </c>
      <c r="P311" s="33"/>
    </row>
    <row r="312" spans="1:16" ht="15" thickBot="1" x14ac:dyDescent="0.35">
      <c r="A312" s="15" t="s">
        <v>127</v>
      </c>
      <c r="B312" s="1">
        <v>2024</v>
      </c>
      <c r="C312" s="10">
        <v>45597</v>
      </c>
      <c r="D312" s="34" t="s">
        <v>77</v>
      </c>
      <c r="E312" s="1" t="s">
        <v>66</v>
      </c>
      <c r="F312" s="1" t="s">
        <v>93</v>
      </c>
      <c r="G312" s="1" t="s">
        <v>68</v>
      </c>
      <c r="H312" s="2" t="s">
        <v>94</v>
      </c>
      <c r="I312" s="1" t="s">
        <v>0</v>
      </c>
      <c r="J312" s="1" t="s">
        <v>9</v>
      </c>
      <c r="K312" s="1">
        <v>3</v>
      </c>
      <c r="L312" s="1">
        <v>57</v>
      </c>
      <c r="M312" s="28">
        <v>1919.76</v>
      </c>
      <c r="N312" s="39">
        <f>Data[[#This Row],[Gross Wages]]/Data[[#This Row],[No. of Hours Worked]]</f>
        <v>33.68</v>
      </c>
      <c r="P312" s="33"/>
    </row>
    <row r="313" spans="1:16" ht="15" thickBot="1" x14ac:dyDescent="0.35">
      <c r="A313" s="15" t="s">
        <v>140</v>
      </c>
      <c r="B313" s="1">
        <v>2024</v>
      </c>
      <c r="C313" s="10">
        <v>45597</v>
      </c>
      <c r="D313" s="34" t="s">
        <v>77</v>
      </c>
      <c r="E313" s="22" t="s">
        <v>66</v>
      </c>
      <c r="F313" s="22" t="s">
        <v>70</v>
      </c>
      <c r="G313" s="22" t="s">
        <v>68</v>
      </c>
      <c r="H313" s="37" t="s">
        <v>71</v>
      </c>
      <c r="I313" s="22" t="s">
        <v>0</v>
      </c>
      <c r="J313" s="22" t="s">
        <v>9</v>
      </c>
      <c r="K313" s="22">
        <v>12</v>
      </c>
      <c r="L313" s="22">
        <v>802</v>
      </c>
      <c r="M313" s="38">
        <v>23443.74</v>
      </c>
      <c r="N313" s="39">
        <f>Data[[#This Row],[Gross Wages]]/Data[[#This Row],[No. of Hours Worked]]</f>
        <v>29.231596009975064</v>
      </c>
      <c r="P313" s="33"/>
    </row>
    <row r="314" spans="1:16" ht="15" thickBot="1" x14ac:dyDescent="0.35">
      <c r="A314" s="15" t="s">
        <v>140</v>
      </c>
      <c r="B314" s="1">
        <v>2024</v>
      </c>
      <c r="C314" s="10">
        <v>45597</v>
      </c>
      <c r="D314" s="34" t="s">
        <v>77</v>
      </c>
      <c r="E314" s="22" t="s">
        <v>66</v>
      </c>
      <c r="F314" s="22" t="s">
        <v>147</v>
      </c>
      <c r="G314" s="22" t="s">
        <v>73</v>
      </c>
      <c r="H314" s="37" t="s">
        <v>74</v>
      </c>
      <c r="I314" s="22" t="s">
        <v>0</v>
      </c>
      <c r="J314" s="22" t="s">
        <v>9</v>
      </c>
      <c r="K314" s="22">
        <v>2</v>
      </c>
      <c r="L314" s="22">
        <v>22</v>
      </c>
      <c r="M314" s="38">
        <v>583</v>
      </c>
      <c r="N314" s="39">
        <f>Data[[#This Row],[Gross Wages]]/Data[[#This Row],[No. of Hours Worked]]</f>
        <v>26.5</v>
      </c>
      <c r="P314" s="33"/>
    </row>
    <row r="315" spans="1:16" ht="15" thickBot="1" x14ac:dyDescent="0.35">
      <c r="A315" s="15" t="s">
        <v>140</v>
      </c>
      <c r="B315" s="1">
        <v>2024</v>
      </c>
      <c r="C315" s="10">
        <v>45597</v>
      </c>
      <c r="D315" s="34" t="s">
        <v>77</v>
      </c>
      <c r="E315" s="22" t="s">
        <v>66</v>
      </c>
      <c r="F315" s="22" t="s">
        <v>141</v>
      </c>
      <c r="G315" s="22" t="s">
        <v>68</v>
      </c>
      <c r="H315" s="37" t="s">
        <v>142</v>
      </c>
      <c r="I315" s="22" t="s">
        <v>0</v>
      </c>
      <c r="J315" s="22" t="s">
        <v>9</v>
      </c>
      <c r="K315" s="22">
        <v>1</v>
      </c>
      <c r="L315" s="22">
        <v>25.5</v>
      </c>
      <c r="M315" s="38">
        <v>787.44</v>
      </c>
      <c r="N315" s="39">
        <f>Data[[#This Row],[Gross Wages]]/Data[[#This Row],[No. of Hours Worked]]</f>
        <v>30.880000000000003</v>
      </c>
      <c r="P315" s="33"/>
    </row>
    <row r="316" spans="1:16" ht="15" thickBot="1" x14ac:dyDescent="0.35">
      <c r="A316" s="15" t="s">
        <v>106</v>
      </c>
      <c r="B316" s="1">
        <v>2024</v>
      </c>
      <c r="C316" s="10">
        <v>45597</v>
      </c>
      <c r="D316" s="2" t="s">
        <v>77</v>
      </c>
      <c r="E316" s="45" t="s">
        <v>80</v>
      </c>
      <c r="F316" s="45" t="s">
        <v>121</v>
      </c>
      <c r="G316" s="47" t="s">
        <v>73</v>
      </c>
      <c r="H316" s="49" t="s">
        <v>122</v>
      </c>
      <c r="I316" s="72" t="s">
        <v>0</v>
      </c>
      <c r="J316" s="72" t="s">
        <v>9</v>
      </c>
      <c r="K316" s="72">
        <v>1</v>
      </c>
      <c r="L316" s="72">
        <v>8</v>
      </c>
      <c r="M316" s="51">
        <v>298.8</v>
      </c>
      <c r="N316" s="39">
        <f>Data[[#This Row],[Gross Wages]]/Data[[#This Row],[No. of Hours Worked]]</f>
        <v>37.35</v>
      </c>
      <c r="P316" s="33"/>
    </row>
    <row r="317" spans="1:16" ht="15" thickBot="1" x14ac:dyDescent="0.35">
      <c r="A317" s="3" t="s">
        <v>106</v>
      </c>
      <c r="B317" s="1">
        <v>2024</v>
      </c>
      <c r="C317" s="10">
        <v>45597</v>
      </c>
      <c r="D317" s="2" t="s">
        <v>77</v>
      </c>
      <c r="E317" s="45" t="s">
        <v>66</v>
      </c>
      <c r="F317" s="45" t="s">
        <v>90</v>
      </c>
      <c r="G317" s="47" t="s">
        <v>68</v>
      </c>
      <c r="H317" s="49" t="s">
        <v>99</v>
      </c>
      <c r="I317" s="72" t="s">
        <v>0</v>
      </c>
      <c r="J317" s="72" t="s">
        <v>9</v>
      </c>
      <c r="K317" s="72">
        <v>3</v>
      </c>
      <c r="L317" s="72">
        <v>50</v>
      </c>
      <c r="M317" s="51">
        <v>1180.75</v>
      </c>
      <c r="N317" s="39">
        <f>Data[[#This Row],[Gross Wages]]/Data[[#This Row],[No. of Hours Worked]]</f>
        <v>23.614999999999998</v>
      </c>
      <c r="P317" s="33"/>
    </row>
    <row r="318" spans="1:16" ht="15" thickBot="1" x14ac:dyDescent="0.35">
      <c r="A318" s="15" t="s">
        <v>128</v>
      </c>
      <c r="B318" s="1">
        <v>2024</v>
      </c>
      <c r="C318" s="10">
        <v>45597</v>
      </c>
      <c r="D318" s="34" t="s">
        <v>77</v>
      </c>
      <c r="E318" s="22" t="s">
        <v>66</v>
      </c>
      <c r="F318" s="22" t="s">
        <v>97</v>
      </c>
      <c r="G318" s="22" t="s">
        <v>68</v>
      </c>
      <c r="H318" s="37" t="s">
        <v>98</v>
      </c>
      <c r="I318" s="22" t="s">
        <v>0</v>
      </c>
      <c r="J318" s="22" t="s">
        <v>9</v>
      </c>
      <c r="K318" s="22">
        <v>2</v>
      </c>
      <c r="L318" s="22">
        <v>50</v>
      </c>
      <c r="M318" s="38">
        <v>1803.12</v>
      </c>
      <c r="N318" s="39">
        <f>Data[[#This Row],[Gross Wages]]/Data[[#This Row],[No. of Hours Worked]]</f>
        <v>36.062399999999997</v>
      </c>
      <c r="P318" s="33"/>
    </row>
    <row r="319" spans="1:16" ht="15" thickBot="1" x14ac:dyDescent="0.35">
      <c r="A319" s="15" t="s">
        <v>128</v>
      </c>
      <c r="B319" s="1">
        <v>2024</v>
      </c>
      <c r="C319" s="10">
        <v>45597</v>
      </c>
      <c r="D319" s="34" t="s">
        <v>77</v>
      </c>
      <c r="E319" s="22" t="s">
        <v>66</v>
      </c>
      <c r="F319" s="22" t="s">
        <v>97</v>
      </c>
      <c r="G319" s="22" t="s">
        <v>68</v>
      </c>
      <c r="H319" s="37" t="s">
        <v>98</v>
      </c>
      <c r="I319" s="22" t="s">
        <v>0</v>
      </c>
      <c r="J319" s="22" t="s">
        <v>9</v>
      </c>
      <c r="K319" s="22">
        <v>10</v>
      </c>
      <c r="L319" s="22">
        <v>1008</v>
      </c>
      <c r="M319" s="38">
        <v>37292.160000000003</v>
      </c>
      <c r="N319" s="39">
        <f>Data[[#This Row],[Gross Wages]]/Data[[#This Row],[No. of Hours Worked]]</f>
        <v>36.996190476190478</v>
      </c>
      <c r="P319" s="33"/>
    </row>
    <row r="320" spans="1:16" ht="15" thickBot="1" x14ac:dyDescent="0.35">
      <c r="A320" s="15" t="s">
        <v>49</v>
      </c>
      <c r="B320" s="1">
        <v>2024</v>
      </c>
      <c r="C320" s="10">
        <v>45597</v>
      </c>
      <c r="D320" s="2" t="s">
        <v>77</v>
      </c>
      <c r="E320" s="22" t="s">
        <v>66</v>
      </c>
      <c r="F320" s="22" t="s">
        <v>67</v>
      </c>
      <c r="G320" s="22" t="s">
        <v>68</v>
      </c>
      <c r="H320" s="37" t="s">
        <v>69</v>
      </c>
      <c r="I320" s="22" t="s">
        <v>0</v>
      </c>
      <c r="J320" s="22" t="s">
        <v>9</v>
      </c>
      <c r="K320" s="22">
        <v>9</v>
      </c>
      <c r="L320" s="22">
        <v>1318</v>
      </c>
      <c r="M320" s="26">
        <v>95106.880000000005</v>
      </c>
      <c r="N320" s="39">
        <f>Data[[#This Row],[Gross Wages]]/Data[[#This Row],[No. of Hours Worked]]</f>
        <v>72.16</v>
      </c>
      <c r="P320" s="33"/>
    </row>
    <row r="321" spans="1:20" ht="15" thickBot="1" x14ac:dyDescent="0.35">
      <c r="A321" s="15" t="s">
        <v>49</v>
      </c>
      <c r="B321" s="1">
        <v>2024</v>
      </c>
      <c r="C321" s="10">
        <v>45597</v>
      </c>
      <c r="D321" s="2" t="s">
        <v>77</v>
      </c>
      <c r="E321" s="22" t="s">
        <v>66</v>
      </c>
      <c r="F321" s="22" t="s">
        <v>67</v>
      </c>
      <c r="G321" s="22" t="s">
        <v>68</v>
      </c>
      <c r="H321" s="37" t="s">
        <v>69</v>
      </c>
      <c r="I321" s="22" t="s">
        <v>0</v>
      </c>
      <c r="J321" s="22" t="s">
        <v>10</v>
      </c>
      <c r="K321" s="22">
        <v>0</v>
      </c>
      <c r="L321" s="22">
        <v>0</v>
      </c>
      <c r="M321" s="26"/>
      <c r="N321" s="39" t="e">
        <f>Data[[#This Row],[Gross Wages]]/Data[[#This Row],[No. of Hours Worked]]</f>
        <v>#DIV/0!</v>
      </c>
      <c r="P321" s="33"/>
    </row>
    <row r="322" spans="1:20" ht="15" thickBot="1" x14ac:dyDescent="0.35">
      <c r="A322" s="15" t="s">
        <v>50</v>
      </c>
      <c r="B322" s="1">
        <v>2024</v>
      </c>
      <c r="C322" s="10">
        <v>45597</v>
      </c>
      <c r="D322" s="2" t="s">
        <v>77</v>
      </c>
      <c r="E322" s="22" t="s">
        <v>66</v>
      </c>
      <c r="F322" s="22" t="s">
        <v>100</v>
      </c>
      <c r="G322" s="22" t="s">
        <v>68</v>
      </c>
      <c r="H322" s="37" t="s">
        <v>101</v>
      </c>
      <c r="I322" s="22" t="s">
        <v>0</v>
      </c>
      <c r="J322" s="22" t="s">
        <v>9</v>
      </c>
      <c r="K322" s="22">
        <v>7</v>
      </c>
      <c r="L322" s="22">
        <v>388.7</v>
      </c>
      <c r="M322" s="26">
        <v>10583.31</v>
      </c>
      <c r="N322" s="39">
        <f>Data[[#This Row],[Gross Wages]]/Data[[#This Row],[No. of Hours Worked]]</f>
        <v>27.22745047594546</v>
      </c>
      <c r="P322" s="33"/>
    </row>
    <row r="323" spans="1:20" s="8" customFormat="1" ht="15" thickBot="1" x14ac:dyDescent="0.35">
      <c r="A323" s="15" t="s">
        <v>50</v>
      </c>
      <c r="B323" s="1">
        <v>2024</v>
      </c>
      <c r="C323" s="10">
        <v>45597</v>
      </c>
      <c r="D323" s="2" t="s">
        <v>77</v>
      </c>
      <c r="E323" s="22" t="s">
        <v>66</v>
      </c>
      <c r="F323" s="22" t="s">
        <v>100</v>
      </c>
      <c r="G323" s="22" t="s">
        <v>68</v>
      </c>
      <c r="H323" s="37" t="s">
        <v>101</v>
      </c>
      <c r="I323" s="22" t="s">
        <v>0</v>
      </c>
      <c r="J323" s="22" t="s">
        <v>10</v>
      </c>
      <c r="K323" s="22">
        <v>0</v>
      </c>
      <c r="L323" s="22">
        <v>0</v>
      </c>
      <c r="M323" s="26"/>
      <c r="N323" s="39" t="e">
        <f>Data[[#This Row],[Gross Wages]]/Data[[#This Row],[No. of Hours Worked]]</f>
        <v>#DIV/0!</v>
      </c>
      <c r="P323" s="33"/>
      <c r="Q323"/>
      <c r="T323" s="32"/>
    </row>
    <row r="324" spans="1:20" ht="15" thickBot="1" x14ac:dyDescent="0.35">
      <c r="A324" s="3" t="s">
        <v>51</v>
      </c>
      <c r="B324" s="1">
        <v>2024</v>
      </c>
      <c r="C324" s="11">
        <v>45597</v>
      </c>
      <c r="D324" s="2" t="s">
        <v>77</v>
      </c>
      <c r="E324" s="22" t="s">
        <v>66</v>
      </c>
      <c r="F324" s="22" t="s">
        <v>70</v>
      </c>
      <c r="G324" s="22" t="s">
        <v>68</v>
      </c>
      <c r="H324" s="37" t="s">
        <v>71</v>
      </c>
      <c r="I324" s="22" t="s">
        <v>0</v>
      </c>
      <c r="J324" s="22" t="s">
        <v>9</v>
      </c>
      <c r="K324" s="22">
        <v>1</v>
      </c>
      <c r="L324" s="22">
        <v>46.15</v>
      </c>
      <c r="M324" s="26">
        <v>2014.71</v>
      </c>
      <c r="N324" s="39">
        <f>Data[[#This Row],[Gross Wages]]/Data[[#This Row],[No. of Hours Worked]]</f>
        <v>43.655687973997836</v>
      </c>
      <c r="P324" s="33"/>
    </row>
    <row r="325" spans="1:20" ht="15" thickBot="1" x14ac:dyDescent="0.35">
      <c r="A325" s="15" t="s">
        <v>51</v>
      </c>
      <c r="B325" s="1">
        <v>2024</v>
      </c>
      <c r="C325" s="10">
        <v>45597</v>
      </c>
      <c r="D325" s="2" t="s">
        <v>77</v>
      </c>
      <c r="E325" s="22" t="s">
        <v>66</v>
      </c>
      <c r="F325" s="22" t="s">
        <v>72</v>
      </c>
      <c r="G325" s="22" t="s">
        <v>73</v>
      </c>
      <c r="H325" s="37" t="s">
        <v>74</v>
      </c>
      <c r="I325" s="22" t="s">
        <v>0</v>
      </c>
      <c r="J325" s="22" t="s">
        <v>9</v>
      </c>
      <c r="K325" s="22">
        <v>4</v>
      </c>
      <c r="L325" s="22">
        <v>372.78</v>
      </c>
      <c r="M325" s="26">
        <v>15610.69</v>
      </c>
      <c r="N325" s="39">
        <f>Data[[#This Row],[Gross Wages]]/Data[[#This Row],[No. of Hours Worked]]</f>
        <v>41.87641504372553</v>
      </c>
      <c r="P325" s="33"/>
    </row>
    <row r="326" spans="1:20" ht="15" thickBot="1" x14ac:dyDescent="0.35">
      <c r="A326" s="15" t="s">
        <v>51</v>
      </c>
      <c r="B326" s="1">
        <v>2024</v>
      </c>
      <c r="C326" s="10">
        <v>45597</v>
      </c>
      <c r="D326" s="2" t="s">
        <v>77</v>
      </c>
      <c r="E326" s="22" t="s">
        <v>66</v>
      </c>
      <c r="F326" s="22" t="s">
        <v>72</v>
      </c>
      <c r="G326" s="22" t="s">
        <v>73</v>
      </c>
      <c r="H326" s="37" t="s">
        <v>74</v>
      </c>
      <c r="I326" s="22" t="s">
        <v>0</v>
      </c>
      <c r="J326" s="22" t="s">
        <v>10</v>
      </c>
      <c r="K326" s="22">
        <v>0</v>
      </c>
      <c r="L326" s="22">
        <v>0</v>
      </c>
      <c r="M326" s="26"/>
      <c r="N326" s="39" t="e">
        <f>Data[[#This Row],[Gross Wages]]/Data[[#This Row],[No. of Hours Worked]]</f>
        <v>#DIV/0!</v>
      </c>
      <c r="P326" s="33"/>
    </row>
    <row r="327" spans="1:20" ht="15" thickBot="1" x14ac:dyDescent="0.35">
      <c r="A327" s="15" t="s">
        <v>51</v>
      </c>
      <c r="B327" s="1">
        <v>2024</v>
      </c>
      <c r="C327" s="10">
        <v>45597</v>
      </c>
      <c r="D327" s="2" t="s">
        <v>77</v>
      </c>
      <c r="E327" s="22" t="s">
        <v>66</v>
      </c>
      <c r="F327" s="22" t="s">
        <v>70</v>
      </c>
      <c r="G327" s="22" t="s">
        <v>68</v>
      </c>
      <c r="H327" s="37" t="s">
        <v>71</v>
      </c>
      <c r="I327" s="22" t="s">
        <v>0</v>
      </c>
      <c r="J327" s="22" t="s">
        <v>10</v>
      </c>
      <c r="K327" s="22">
        <v>0</v>
      </c>
      <c r="L327" s="22">
        <v>0</v>
      </c>
      <c r="M327" s="26"/>
      <c r="N327" s="39" t="e">
        <f>Data[[#This Row],[Gross Wages]]/Data[[#This Row],[No. of Hours Worked]]</f>
        <v>#DIV/0!</v>
      </c>
      <c r="P327" s="33"/>
    </row>
    <row r="328" spans="1:20" ht="15" thickBot="1" x14ac:dyDescent="0.35">
      <c r="A328" s="15" t="s">
        <v>52</v>
      </c>
      <c r="B328" s="1">
        <v>2024</v>
      </c>
      <c r="C328" s="10">
        <v>45597</v>
      </c>
      <c r="D328" s="2" t="s">
        <v>77</v>
      </c>
      <c r="E328" s="22" t="s">
        <v>66</v>
      </c>
      <c r="F328" s="22" t="s">
        <v>90</v>
      </c>
      <c r="G328" s="22" t="s">
        <v>68</v>
      </c>
      <c r="H328" s="37" t="s">
        <v>99</v>
      </c>
      <c r="I328" s="22" t="s">
        <v>0</v>
      </c>
      <c r="J328" s="22" t="s">
        <v>9</v>
      </c>
      <c r="K328" s="22">
        <v>4</v>
      </c>
      <c r="L328" s="22">
        <v>220</v>
      </c>
      <c r="M328" s="26">
        <v>13896.9</v>
      </c>
      <c r="N328" s="39">
        <f>Data[[#This Row],[Gross Wages]]/Data[[#This Row],[No. of Hours Worked]]</f>
        <v>63.167727272727269</v>
      </c>
      <c r="P328" s="33"/>
    </row>
    <row r="329" spans="1:20" ht="15" thickBot="1" x14ac:dyDescent="0.35">
      <c r="A329" s="15" t="s">
        <v>52</v>
      </c>
      <c r="B329" s="1">
        <v>2024</v>
      </c>
      <c r="C329" s="10">
        <v>45597</v>
      </c>
      <c r="D329" s="2" t="s">
        <v>77</v>
      </c>
      <c r="E329" s="22" t="s">
        <v>66</v>
      </c>
      <c r="F329" s="22" t="s">
        <v>90</v>
      </c>
      <c r="G329" s="22" t="s">
        <v>68</v>
      </c>
      <c r="H329" s="37" t="s">
        <v>99</v>
      </c>
      <c r="I329" s="1" t="s">
        <v>0</v>
      </c>
      <c r="J329" s="22" t="s">
        <v>10</v>
      </c>
      <c r="K329" s="22">
        <v>0</v>
      </c>
      <c r="L329" s="22">
        <v>0</v>
      </c>
      <c r="M329" s="26"/>
      <c r="N329" s="39" t="e">
        <f>Data[[#This Row],[Gross Wages]]/Data[[#This Row],[No. of Hours Worked]]</f>
        <v>#DIV/0!</v>
      </c>
      <c r="P329" s="33"/>
    </row>
    <row r="330" spans="1:20" ht="28.95" customHeight="1" thickBot="1" x14ac:dyDescent="0.35">
      <c r="A330" s="15" t="s">
        <v>144</v>
      </c>
      <c r="B330" s="1">
        <v>2024</v>
      </c>
      <c r="C330" s="10">
        <v>45597</v>
      </c>
      <c r="D330" s="34" t="s">
        <v>77</v>
      </c>
      <c r="E330" s="22" t="s">
        <v>66</v>
      </c>
      <c r="F330" s="22" t="s">
        <v>95</v>
      </c>
      <c r="G330" s="22" t="s">
        <v>68</v>
      </c>
      <c r="H330" s="37" t="s">
        <v>96</v>
      </c>
      <c r="I330" s="22" t="s">
        <v>3</v>
      </c>
      <c r="J330" s="22" t="s">
        <v>9</v>
      </c>
      <c r="K330" s="22">
        <v>2</v>
      </c>
      <c r="L330" s="22">
        <v>28</v>
      </c>
      <c r="M330" s="38">
        <v>2520</v>
      </c>
      <c r="N330" s="39">
        <f>Data[[#This Row],[Gross Wages]]/Data[[#This Row],[No. of Hours Worked]]</f>
        <v>90</v>
      </c>
      <c r="P330" s="33"/>
    </row>
    <row r="331" spans="1:20" ht="16.8" customHeight="1" thickBot="1" x14ac:dyDescent="0.35">
      <c r="A331" s="15" t="s">
        <v>144</v>
      </c>
      <c r="B331" s="1">
        <v>2024</v>
      </c>
      <c r="C331" s="10">
        <v>45597</v>
      </c>
      <c r="D331" s="34" t="s">
        <v>77</v>
      </c>
      <c r="E331" s="22" t="s">
        <v>66</v>
      </c>
      <c r="F331" s="22" t="s">
        <v>95</v>
      </c>
      <c r="G331" s="22" t="s">
        <v>68</v>
      </c>
      <c r="H331" s="37" t="s">
        <v>96</v>
      </c>
      <c r="I331" s="1" t="s">
        <v>0</v>
      </c>
      <c r="J331" s="22" t="s">
        <v>9</v>
      </c>
      <c r="K331" s="22">
        <v>3</v>
      </c>
      <c r="L331" s="22">
        <v>82.5</v>
      </c>
      <c r="M331" s="38">
        <v>4915.83</v>
      </c>
      <c r="N331" s="39">
        <f>Data[[#This Row],[Gross Wages]]/Data[[#This Row],[No. of Hours Worked]]</f>
        <v>59.585818181818183</v>
      </c>
      <c r="P331" s="33"/>
    </row>
    <row r="332" spans="1:20" ht="15" thickBot="1" x14ac:dyDescent="0.35">
      <c r="A332" s="15" t="s">
        <v>144</v>
      </c>
      <c r="B332" s="1">
        <v>2024</v>
      </c>
      <c r="C332" s="10">
        <v>45597</v>
      </c>
      <c r="D332" s="34" t="s">
        <v>77</v>
      </c>
      <c r="E332" s="22" t="s">
        <v>66</v>
      </c>
      <c r="F332" s="22" t="s">
        <v>145</v>
      </c>
      <c r="G332" s="22" t="s">
        <v>68</v>
      </c>
      <c r="H332" s="37" t="s">
        <v>146</v>
      </c>
      <c r="I332" s="22" t="s">
        <v>111</v>
      </c>
      <c r="J332" s="22" t="s">
        <v>9</v>
      </c>
      <c r="K332" s="22">
        <v>1</v>
      </c>
      <c r="L332" s="22">
        <v>145</v>
      </c>
      <c r="M332" s="26">
        <v>7320</v>
      </c>
      <c r="N332" s="39">
        <f>Data[[#This Row],[Gross Wages]]/Data[[#This Row],[No. of Hours Worked]]</f>
        <v>50.482758620689658</v>
      </c>
      <c r="P332" s="33"/>
    </row>
    <row r="333" spans="1:20" ht="15" thickBot="1" x14ac:dyDescent="0.35">
      <c r="A333" s="15" t="s">
        <v>144</v>
      </c>
      <c r="B333" s="1">
        <v>2024</v>
      </c>
      <c r="C333" s="10">
        <v>45597</v>
      </c>
      <c r="D333" s="34" t="s">
        <v>77</v>
      </c>
      <c r="E333" s="22" t="s">
        <v>66</v>
      </c>
      <c r="F333" s="22" t="s">
        <v>145</v>
      </c>
      <c r="G333" s="22" t="s">
        <v>68</v>
      </c>
      <c r="H333" s="37" t="s">
        <v>146</v>
      </c>
      <c r="I333" s="22" t="s">
        <v>0</v>
      </c>
      <c r="J333" s="22" t="s">
        <v>9</v>
      </c>
      <c r="K333" s="22">
        <v>2</v>
      </c>
      <c r="L333" s="22">
        <v>193.5</v>
      </c>
      <c r="M333" s="38">
        <v>9487.6</v>
      </c>
      <c r="N333" s="39">
        <f>Data[[#This Row],[Gross Wages]]/Data[[#This Row],[No. of Hours Worked]]</f>
        <v>49.03152454780362</v>
      </c>
      <c r="P333" s="33"/>
    </row>
    <row r="334" spans="1:20" x14ac:dyDescent="0.3">
      <c r="A334" s="15" t="s">
        <v>132</v>
      </c>
      <c r="B334" s="1">
        <v>2024</v>
      </c>
      <c r="C334" s="10">
        <v>45597</v>
      </c>
      <c r="D334" s="34" t="s">
        <v>77</v>
      </c>
      <c r="E334" s="1" t="s">
        <v>66</v>
      </c>
      <c r="F334" s="1" t="s">
        <v>133</v>
      </c>
      <c r="G334" s="1" t="s">
        <v>68</v>
      </c>
      <c r="H334" s="2" t="s">
        <v>134</v>
      </c>
      <c r="I334" s="1" t="s">
        <v>0</v>
      </c>
      <c r="J334" s="1" t="s">
        <v>9</v>
      </c>
      <c r="K334" s="1">
        <v>1</v>
      </c>
      <c r="L334" s="1">
        <v>4</v>
      </c>
      <c r="M334" s="41">
        <v>164.36</v>
      </c>
      <c r="N334" s="39">
        <f>Data[[#This Row],[Gross Wages]]/Data[[#This Row],[No. of Hours Worked]]</f>
        <v>41.09</v>
      </c>
      <c r="P334" s="33"/>
    </row>
    <row r="335" spans="1:20" x14ac:dyDescent="0.3">
      <c r="A335" s="15" t="s">
        <v>132</v>
      </c>
      <c r="B335" s="1">
        <v>2024</v>
      </c>
      <c r="C335" s="10">
        <v>45597</v>
      </c>
      <c r="D335" s="34" t="s">
        <v>77</v>
      </c>
      <c r="E335" s="1" t="s">
        <v>66</v>
      </c>
      <c r="F335" s="1" t="s">
        <v>125</v>
      </c>
      <c r="G335" s="1" t="s">
        <v>68</v>
      </c>
      <c r="H335" s="2" t="s">
        <v>126</v>
      </c>
      <c r="I335" s="1" t="s">
        <v>2</v>
      </c>
      <c r="J335" s="1" t="s">
        <v>9</v>
      </c>
      <c r="K335" s="1">
        <v>3</v>
      </c>
      <c r="L335" s="1">
        <v>435</v>
      </c>
      <c r="M335" s="41">
        <v>11704.56</v>
      </c>
      <c r="N335" s="39">
        <f>Data[[#This Row],[Gross Wages]]/Data[[#This Row],[No. of Hours Worked]]</f>
        <v>26.907034482758618</v>
      </c>
      <c r="P335" s="33"/>
    </row>
    <row r="336" spans="1:20" x14ac:dyDescent="0.3">
      <c r="A336" s="15" t="s">
        <v>132</v>
      </c>
      <c r="B336" s="1">
        <v>2024</v>
      </c>
      <c r="C336" s="10">
        <v>45597</v>
      </c>
      <c r="D336" s="34" t="s">
        <v>77</v>
      </c>
      <c r="E336" s="1" t="s">
        <v>66</v>
      </c>
      <c r="F336" s="1" t="s">
        <v>125</v>
      </c>
      <c r="G336" s="1" t="s">
        <v>68</v>
      </c>
      <c r="H336" s="2" t="s">
        <v>126</v>
      </c>
      <c r="I336" s="1" t="s">
        <v>0</v>
      </c>
      <c r="J336" s="1" t="s">
        <v>9</v>
      </c>
      <c r="K336" s="1">
        <v>6</v>
      </c>
      <c r="L336" s="1">
        <v>660</v>
      </c>
      <c r="M336" s="41">
        <v>20397.22</v>
      </c>
      <c r="N336" s="39">
        <f>Data[[#This Row],[Gross Wages]]/Data[[#This Row],[No. of Hours Worked]]</f>
        <v>30.90487878787879</v>
      </c>
      <c r="P336" s="33"/>
    </row>
    <row r="337" spans="1:16" x14ac:dyDescent="0.3">
      <c r="A337" s="15" t="s">
        <v>40</v>
      </c>
      <c r="B337" s="1">
        <v>2024</v>
      </c>
      <c r="C337" s="10">
        <v>45627</v>
      </c>
      <c r="D337" s="2" t="s">
        <v>77</v>
      </c>
      <c r="E337" s="1" t="s">
        <v>66</v>
      </c>
      <c r="F337" s="1" t="s">
        <v>78</v>
      </c>
      <c r="G337" s="1" t="s">
        <v>68</v>
      </c>
      <c r="H337" s="2" t="s">
        <v>79</v>
      </c>
      <c r="I337" s="1" t="s">
        <v>0</v>
      </c>
      <c r="J337" s="1" t="s">
        <v>9</v>
      </c>
      <c r="K337" s="1">
        <v>2</v>
      </c>
      <c r="L337" s="1">
        <v>117</v>
      </c>
      <c r="M337" s="16">
        <v>4580.55</v>
      </c>
      <c r="N337" s="39">
        <f>Data[[#This Row],[Gross Wages]]/Data[[#This Row],[No. of Hours Worked]]</f>
        <v>39.15</v>
      </c>
      <c r="P337" s="33"/>
    </row>
    <row r="338" spans="1:16" x14ac:dyDescent="0.3">
      <c r="A338" s="15" t="s">
        <v>40</v>
      </c>
      <c r="B338" s="1">
        <v>2024</v>
      </c>
      <c r="C338" s="10">
        <v>45627</v>
      </c>
      <c r="D338" s="2" t="s">
        <v>77</v>
      </c>
      <c r="E338" s="1" t="s">
        <v>66</v>
      </c>
      <c r="F338" s="1" t="s">
        <v>91</v>
      </c>
      <c r="G338" s="1" t="s">
        <v>68</v>
      </c>
      <c r="H338" s="2" t="s">
        <v>92</v>
      </c>
      <c r="I338" s="1" t="s">
        <v>0</v>
      </c>
      <c r="J338" s="1" t="s">
        <v>9</v>
      </c>
      <c r="K338" s="1">
        <v>2</v>
      </c>
      <c r="L338" s="1">
        <v>180</v>
      </c>
      <c r="M338" s="16">
        <v>5993.6</v>
      </c>
      <c r="N338" s="39">
        <f>Data[[#This Row],[Gross Wages]]/Data[[#This Row],[No. of Hours Worked]]</f>
        <v>33.297777777777782</v>
      </c>
      <c r="P338" s="33"/>
    </row>
    <row r="339" spans="1:16" ht="15" thickBot="1" x14ac:dyDescent="0.35">
      <c r="A339" s="15" t="s">
        <v>40</v>
      </c>
      <c r="B339" s="1">
        <v>2024</v>
      </c>
      <c r="C339" s="10">
        <v>45627</v>
      </c>
      <c r="D339" s="2" t="s">
        <v>77</v>
      </c>
      <c r="E339" s="1" t="s">
        <v>66</v>
      </c>
      <c r="F339" s="1" t="s">
        <v>91</v>
      </c>
      <c r="G339" s="1" t="s">
        <v>68</v>
      </c>
      <c r="H339" s="2" t="s">
        <v>92</v>
      </c>
      <c r="I339" s="1" t="s">
        <v>0</v>
      </c>
      <c r="J339" s="1" t="s">
        <v>10</v>
      </c>
      <c r="K339" s="1">
        <v>0</v>
      </c>
      <c r="L339" s="1">
        <v>0</v>
      </c>
      <c r="M339" s="16"/>
      <c r="N339" s="39" t="e">
        <f>Data[[#This Row],[Gross Wages]]/Data[[#This Row],[No. of Hours Worked]]</f>
        <v>#DIV/0!</v>
      </c>
      <c r="P339" s="33"/>
    </row>
    <row r="340" spans="1:16" ht="15" thickBot="1" x14ac:dyDescent="0.35">
      <c r="A340" s="15" t="s">
        <v>40</v>
      </c>
      <c r="B340" s="1">
        <v>2024</v>
      </c>
      <c r="C340" s="10">
        <v>45627</v>
      </c>
      <c r="D340" s="2" t="s">
        <v>77</v>
      </c>
      <c r="E340" s="22" t="s">
        <v>66</v>
      </c>
      <c r="F340" s="22" t="s">
        <v>78</v>
      </c>
      <c r="G340" s="22" t="s">
        <v>68</v>
      </c>
      <c r="H340" s="37" t="s">
        <v>79</v>
      </c>
      <c r="I340" s="22" t="s">
        <v>0</v>
      </c>
      <c r="J340" s="22" t="s">
        <v>10</v>
      </c>
      <c r="K340" s="22">
        <v>0</v>
      </c>
      <c r="L340" s="22">
        <v>0</v>
      </c>
      <c r="M340" s="26"/>
      <c r="N340" s="39" t="e">
        <f>Data[[#This Row],[Gross Wages]]/Data[[#This Row],[No. of Hours Worked]]</f>
        <v>#DIV/0!</v>
      </c>
      <c r="P340" s="33"/>
    </row>
    <row r="341" spans="1:16" x14ac:dyDescent="0.3">
      <c r="A341" s="15" t="s">
        <v>43</v>
      </c>
      <c r="B341" s="1">
        <v>2024</v>
      </c>
      <c r="C341" s="10">
        <v>45627</v>
      </c>
      <c r="D341" s="2" t="s">
        <v>77</v>
      </c>
      <c r="E341" s="1" t="s">
        <v>80</v>
      </c>
      <c r="F341" s="1" t="s">
        <v>88</v>
      </c>
      <c r="G341" s="1" t="s">
        <v>68</v>
      </c>
      <c r="H341" s="2" t="s">
        <v>89</v>
      </c>
      <c r="I341" s="1" t="s">
        <v>0</v>
      </c>
      <c r="J341" s="1" t="s">
        <v>9</v>
      </c>
      <c r="K341" s="1">
        <v>3</v>
      </c>
      <c r="L341" s="1">
        <v>376</v>
      </c>
      <c r="M341" s="16">
        <v>9602.67</v>
      </c>
      <c r="N341" s="39">
        <f>Data[[#This Row],[Gross Wages]]/Data[[#This Row],[No. of Hours Worked]]</f>
        <v>25.539015957446807</v>
      </c>
      <c r="P341" s="33"/>
    </row>
    <row r="342" spans="1:16" x14ac:dyDescent="0.3">
      <c r="A342" s="3" t="s">
        <v>43</v>
      </c>
      <c r="B342" s="17">
        <v>2024</v>
      </c>
      <c r="C342" s="11">
        <v>45627</v>
      </c>
      <c r="D342" s="35" t="s">
        <v>77</v>
      </c>
      <c r="E342" s="17" t="s">
        <v>80</v>
      </c>
      <c r="F342" s="17" t="s">
        <v>88</v>
      </c>
      <c r="G342" s="17" t="s">
        <v>68</v>
      </c>
      <c r="H342" s="35" t="s">
        <v>89</v>
      </c>
      <c r="I342" s="17" t="s">
        <v>0</v>
      </c>
      <c r="J342" s="17" t="s">
        <v>10</v>
      </c>
      <c r="K342" s="17">
        <v>0</v>
      </c>
      <c r="L342" s="17">
        <v>0</v>
      </c>
      <c r="M342" s="24"/>
      <c r="N342" s="39" t="e">
        <f>Data[[#This Row],[Gross Wages]]/Data[[#This Row],[No. of Hours Worked]]</f>
        <v>#DIV/0!</v>
      </c>
      <c r="P342" s="33"/>
    </row>
    <row r="343" spans="1:16" x14ac:dyDescent="0.3">
      <c r="A343" s="3" t="s">
        <v>44</v>
      </c>
      <c r="B343" s="1">
        <v>2024</v>
      </c>
      <c r="C343" s="11">
        <v>45627</v>
      </c>
      <c r="D343" s="2" t="s">
        <v>77</v>
      </c>
      <c r="E343" s="1" t="s">
        <v>66</v>
      </c>
      <c r="F343" s="1" t="s">
        <v>75</v>
      </c>
      <c r="G343" s="1" t="s">
        <v>68</v>
      </c>
      <c r="H343" s="2" t="s">
        <v>76</v>
      </c>
      <c r="I343" s="1" t="s">
        <v>0</v>
      </c>
      <c r="J343" s="1" t="s">
        <v>9</v>
      </c>
      <c r="K343" s="1">
        <v>1</v>
      </c>
      <c r="L343" s="1">
        <v>28</v>
      </c>
      <c r="M343" s="16">
        <v>1533.04</v>
      </c>
      <c r="N343" s="39">
        <f>Data[[#This Row],[Gross Wages]]/Data[[#This Row],[No. of Hours Worked]]</f>
        <v>54.751428571428569</v>
      </c>
      <c r="P343" s="33"/>
    </row>
    <row r="344" spans="1:16" x14ac:dyDescent="0.3">
      <c r="A344" s="3" t="s">
        <v>44</v>
      </c>
      <c r="B344" s="1">
        <v>2024</v>
      </c>
      <c r="C344" s="11">
        <v>45627</v>
      </c>
      <c r="D344" s="2" t="s">
        <v>77</v>
      </c>
      <c r="E344" s="1" t="s">
        <v>66</v>
      </c>
      <c r="F344" s="1" t="s">
        <v>72</v>
      </c>
      <c r="G344" s="1" t="s">
        <v>73</v>
      </c>
      <c r="H344" s="2" t="s">
        <v>74</v>
      </c>
      <c r="I344" s="1" t="s">
        <v>0</v>
      </c>
      <c r="J344" s="1" t="s">
        <v>9</v>
      </c>
      <c r="K344" s="1">
        <v>2</v>
      </c>
      <c r="L344" s="1">
        <v>69</v>
      </c>
      <c r="M344" s="16">
        <v>2258.58</v>
      </c>
      <c r="N344" s="39">
        <f>Data[[#This Row],[Gross Wages]]/Data[[#This Row],[No. of Hours Worked]]</f>
        <v>32.733043478260868</v>
      </c>
      <c r="P344" s="33"/>
    </row>
    <row r="345" spans="1:16" x14ac:dyDescent="0.3">
      <c r="A345" s="3" t="s">
        <v>44</v>
      </c>
      <c r="B345" s="1">
        <v>2024</v>
      </c>
      <c r="C345" s="10">
        <v>45627</v>
      </c>
      <c r="D345" s="2" t="s">
        <v>77</v>
      </c>
      <c r="E345" s="1" t="s">
        <v>66</v>
      </c>
      <c r="F345" s="1" t="s">
        <v>95</v>
      </c>
      <c r="G345" s="1" t="s">
        <v>68</v>
      </c>
      <c r="H345" s="2" t="s">
        <v>96</v>
      </c>
      <c r="I345" s="1" t="s">
        <v>0</v>
      </c>
      <c r="J345" s="1" t="s">
        <v>9</v>
      </c>
      <c r="K345" s="1">
        <v>1</v>
      </c>
      <c r="L345" s="1">
        <v>48</v>
      </c>
      <c r="M345" s="16">
        <v>2352</v>
      </c>
      <c r="N345" s="39">
        <f>Data[[#This Row],[Gross Wages]]/Data[[#This Row],[No. of Hours Worked]]</f>
        <v>49</v>
      </c>
      <c r="P345" s="33"/>
    </row>
    <row r="346" spans="1:16" x14ac:dyDescent="0.3">
      <c r="A346" s="3" t="s">
        <v>44</v>
      </c>
      <c r="B346" s="1">
        <v>2024</v>
      </c>
      <c r="C346" s="10">
        <v>45627</v>
      </c>
      <c r="D346" s="2" t="s">
        <v>77</v>
      </c>
      <c r="E346" s="1" t="s">
        <v>66</v>
      </c>
      <c r="F346" s="1" t="s">
        <v>97</v>
      </c>
      <c r="G346" s="1" t="s">
        <v>68</v>
      </c>
      <c r="H346" s="2" t="s">
        <v>98</v>
      </c>
      <c r="I346" s="1" t="s">
        <v>0</v>
      </c>
      <c r="J346" s="1" t="s">
        <v>9</v>
      </c>
      <c r="K346" s="1">
        <v>2</v>
      </c>
      <c r="L346" s="1">
        <v>96</v>
      </c>
      <c r="M346" s="16">
        <v>3849.2</v>
      </c>
      <c r="N346" s="39">
        <f>Data[[#This Row],[Gross Wages]]/Data[[#This Row],[No. of Hours Worked]]</f>
        <v>40.095833333333331</v>
      </c>
      <c r="P346" s="33"/>
    </row>
    <row r="347" spans="1:16" x14ac:dyDescent="0.3">
      <c r="A347" s="3" t="s">
        <v>44</v>
      </c>
      <c r="B347" s="1">
        <v>2024</v>
      </c>
      <c r="C347" s="11">
        <v>45627</v>
      </c>
      <c r="D347" s="2" t="s">
        <v>77</v>
      </c>
      <c r="E347" s="1" t="s">
        <v>66</v>
      </c>
      <c r="F347" s="1" t="s">
        <v>95</v>
      </c>
      <c r="G347" s="1" t="s">
        <v>68</v>
      </c>
      <c r="H347" s="2" t="s">
        <v>96</v>
      </c>
      <c r="I347" s="1" t="s">
        <v>0</v>
      </c>
      <c r="J347" s="1" t="s">
        <v>10</v>
      </c>
      <c r="K347" s="1">
        <v>0</v>
      </c>
      <c r="L347" s="1">
        <v>0</v>
      </c>
      <c r="M347" s="16"/>
      <c r="N347" s="39" t="e">
        <f>Data[[#This Row],[Gross Wages]]/Data[[#This Row],[No. of Hours Worked]]</f>
        <v>#DIV/0!</v>
      </c>
      <c r="P347" s="33"/>
    </row>
    <row r="348" spans="1:16" x14ac:dyDescent="0.3">
      <c r="A348" s="3" t="s">
        <v>44</v>
      </c>
      <c r="B348" s="1">
        <v>2024</v>
      </c>
      <c r="C348" s="11">
        <v>45627</v>
      </c>
      <c r="D348" s="2" t="s">
        <v>77</v>
      </c>
      <c r="E348" s="1" t="s">
        <v>66</v>
      </c>
      <c r="F348" s="1" t="s">
        <v>97</v>
      </c>
      <c r="G348" s="1" t="s">
        <v>68</v>
      </c>
      <c r="H348" s="2" t="s">
        <v>98</v>
      </c>
      <c r="I348" s="1" t="s">
        <v>0</v>
      </c>
      <c r="J348" s="1" t="s">
        <v>10</v>
      </c>
      <c r="K348" s="1">
        <v>0</v>
      </c>
      <c r="L348" s="1">
        <v>0</v>
      </c>
      <c r="M348" s="16"/>
      <c r="N348" s="39" t="e">
        <f>Data[[#This Row],[Gross Wages]]/Data[[#This Row],[No. of Hours Worked]]</f>
        <v>#DIV/0!</v>
      </c>
      <c r="P348" s="33"/>
    </row>
    <row r="349" spans="1:16" x14ac:dyDescent="0.3">
      <c r="A349" s="3" t="s">
        <v>44</v>
      </c>
      <c r="B349" s="1">
        <v>2024</v>
      </c>
      <c r="C349" s="11">
        <v>45627</v>
      </c>
      <c r="D349" s="2" t="s">
        <v>77</v>
      </c>
      <c r="E349" s="1" t="s">
        <v>66</v>
      </c>
      <c r="F349" s="1" t="s">
        <v>72</v>
      </c>
      <c r="G349" s="1" t="s">
        <v>73</v>
      </c>
      <c r="H349" s="2" t="s">
        <v>74</v>
      </c>
      <c r="I349" s="1" t="s">
        <v>0</v>
      </c>
      <c r="J349" s="1" t="s">
        <v>10</v>
      </c>
      <c r="K349" s="1">
        <v>0</v>
      </c>
      <c r="L349" s="1">
        <v>0</v>
      </c>
      <c r="M349" s="16"/>
      <c r="N349" s="39" t="e">
        <f>Data[[#This Row],[Gross Wages]]/Data[[#This Row],[No. of Hours Worked]]</f>
        <v>#DIV/0!</v>
      </c>
      <c r="P349" s="33"/>
    </row>
    <row r="350" spans="1:16" x14ac:dyDescent="0.3">
      <c r="A350" s="3" t="s">
        <v>44</v>
      </c>
      <c r="B350" s="1">
        <v>2024</v>
      </c>
      <c r="C350" s="10">
        <v>45627</v>
      </c>
      <c r="D350" s="2" t="s">
        <v>77</v>
      </c>
      <c r="E350" s="1" t="s">
        <v>66</v>
      </c>
      <c r="F350" s="1" t="s">
        <v>75</v>
      </c>
      <c r="G350" s="1" t="s">
        <v>68</v>
      </c>
      <c r="H350" s="2" t="s">
        <v>76</v>
      </c>
      <c r="I350" s="1" t="s">
        <v>0</v>
      </c>
      <c r="J350" s="1" t="s">
        <v>10</v>
      </c>
      <c r="K350" s="1">
        <v>0</v>
      </c>
      <c r="L350" s="1">
        <v>0</v>
      </c>
      <c r="M350" s="16"/>
      <c r="N350" s="39" t="e">
        <f>Data[[#This Row],[Gross Wages]]/Data[[#This Row],[No. of Hours Worked]]</f>
        <v>#DIV/0!</v>
      </c>
      <c r="P350" s="33"/>
    </row>
    <row r="351" spans="1:16" x14ac:dyDescent="0.3">
      <c r="A351" s="3" t="s">
        <v>45</v>
      </c>
      <c r="B351" s="1">
        <v>2024</v>
      </c>
      <c r="C351" s="10">
        <v>45627</v>
      </c>
      <c r="D351" s="2" t="s">
        <v>77</v>
      </c>
      <c r="E351" s="1" t="s">
        <v>66</v>
      </c>
      <c r="F351" s="1" t="s">
        <v>67</v>
      </c>
      <c r="G351" s="1" t="s">
        <v>68</v>
      </c>
      <c r="H351" s="2" t="s">
        <v>69</v>
      </c>
      <c r="I351" s="1" t="s">
        <v>2</v>
      </c>
      <c r="J351" s="1" t="s">
        <v>10</v>
      </c>
      <c r="K351" s="1">
        <v>1</v>
      </c>
      <c r="L351" s="1">
        <v>152</v>
      </c>
      <c r="M351" s="16">
        <v>6856.72</v>
      </c>
      <c r="N351" s="39">
        <f>Data[[#This Row],[Gross Wages]]/Data[[#This Row],[No. of Hours Worked]]</f>
        <v>45.11</v>
      </c>
      <c r="P351" s="33"/>
    </row>
    <row r="352" spans="1:16" x14ac:dyDescent="0.3">
      <c r="A352" s="3" t="s">
        <v>45</v>
      </c>
      <c r="B352" s="1">
        <v>2024</v>
      </c>
      <c r="C352" s="10">
        <v>45627</v>
      </c>
      <c r="D352" s="2" t="s">
        <v>77</v>
      </c>
      <c r="E352" s="1" t="s">
        <v>66</v>
      </c>
      <c r="F352" s="1" t="s">
        <v>67</v>
      </c>
      <c r="G352" s="1" t="s">
        <v>68</v>
      </c>
      <c r="H352" s="2" t="s">
        <v>69</v>
      </c>
      <c r="I352" s="1" t="s">
        <v>0</v>
      </c>
      <c r="J352" s="1" t="s">
        <v>9</v>
      </c>
      <c r="K352" s="1">
        <v>6</v>
      </c>
      <c r="L352" s="1">
        <v>880</v>
      </c>
      <c r="M352" s="16">
        <v>36735</v>
      </c>
      <c r="N352" s="39">
        <f>Data[[#This Row],[Gross Wages]]/Data[[#This Row],[No. of Hours Worked]]</f>
        <v>41.74431818181818</v>
      </c>
      <c r="P352" s="33"/>
    </row>
    <row r="353" spans="1:16" x14ac:dyDescent="0.3">
      <c r="A353" s="3" t="s">
        <v>45</v>
      </c>
      <c r="B353" s="1">
        <v>2024</v>
      </c>
      <c r="C353" s="10">
        <v>45627</v>
      </c>
      <c r="D353" s="2" t="s">
        <v>77</v>
      </c>
      <c r="E353" s="1" t="s">
        <v>66</v>
      </c>
      <c r="F353" s="1" t="s">
        <v>67</v>
      </c>
      <c r="G353" s="1" t="s">
        <v>68</v>
      </c>
      <c r="H353" s="2" t="s">
        <v>69</v>
      </c>
      <c r="I353" s="1" t="s">
        <v>0</v>
      </c>
      <c r="J353" s="1" t="s">
        <v>10</v>
      </c>
      <c r="K353" s="1">
        <v>0</v>
      </c>
      <c r="L353" s="1">
        <v>0</v>
      </c>
      <c r="M353" s="16"/>
      <c r="N353" s="39" t="e">
        <f>Data[[#This Row],[Gross Wages]]/Data[[#This Row],[No. of Hours Worked]]</f>
        <v>#DIV/0!</v>
      </c>
      <c r="P353" s="33"/>
    </row>
    <row r="354" spans="1:16" x14ac:dyDescent="0.3">
      <c r="A354" s="3" t="s">
        <v>102</v>
      </c>
      <c r="B354" s="1">
        <v>2024</v>
      </c>
      <c r="C354" s="10">
        <v>45627</v>
      </c>
      <c r="D354" s="2" t="s">
        <v>77</v>
      </c>
      <c r="E354" s="18" t="s">
        <v>66</v>
      </c>
      <c r="F354" s="18" t="s">
        <v>84</v>
      </c>
      <c r="G354" s="19" t="s">
        <v>68</v>
      </c>
      <c r="H354" s="23" t="s">
        <v>85</v>
      </c>
      <c r="I354" s="71" t="s">
        <v>0</v>
      </c>
      <c r="J354" s="71" t="s">
        <v>9</v>
      </c>
      <c r="K354" s="71">
        <v>1</v>
      </c>
      <c r="L354" s="71">
        <v>175</v>
      </c>
      <c r="M354" s="25">
        <v>7350</v>
      </c>
      <c r="N354" s="39">
        <f>Data[[#This Row],[Gross Wages]]/Data[[#This Row],[No. of Hours Worked]]</f>
        <v>42</v>
      </c>
      <c r="P354" s="33"/>
    </row>
    <row r="355" spans="1:16" x14ac:dyDescent="0.3">
      <c r="A355" s="3" t="s">
        <v>46</v>
      </c>
      <c r="B355" s="1">
        <v>2024</v>
      </c>
      <c r="C355" s="10">
        <v>45627</v>
      </c>
      <c r="D355" s="2" t="s">
        <v>77</v>
      </c>
      <c r="E355" s="1" t="s">
        <v>66</v>
      </c>
      <c r="F355" s="1" t="s">
        <v>70</v>
      </c>
      <c r="G355" s="1" t="s">
        <v>68</v>
      </c>
      <c r="H355" s="2" t="s">
        <v>71</v>
      </c>
      <c r="I355" s="1" t="s">
        <v>1</v>
      </c>
      <c r="J355" s="1" t="s">
        <v>9</v>
      </c>
      <c r="K355" s="1">
        <v>1</v>
      </c>
      <c r="L355" s="1">
        <v>160</v>
      </c>
      <c r="M355" s="16">
        <v>8636.7999999999993</v>
      </c>
      <c r="N355" s="39">
        <f>Data[[#This Row],[Gross Wages]]/Data[[#This Row],[No. of Hours Worked]]</f>
        <v>53.98</v>
      </c>
      <c r="P355" s="33"/>
    </row>
    <row r="356" spans="1:16" x14ac:dyDescent="0.3">
      <c r="A356" s="3" t="s">
        <v>46</v>
      </c>
      <c r="B356" s="1">
        <v>2024</v>
      </c>
      <c r="C356" s="10">
        <v>45627</v>
      </c>
      <c r="D356" s="2" t="s">
        <v>77</v>
      </c>
      <c r="E356" s="1" t="s">
        <v>66</v>
      </c>
      <c r="F356" s="1" t="s">
        <v>70</v>
      </c>
      <c r="G356" s="1" t="s">
        <v>68</v>
      </c>
      <c r="H356" s="2" t="s">
        <v>71</v>
      </c>
      <c r="I356" s="1" t="s">
        <v>1</v>
      </c>
      <c r="J356" s="1" t="s">
        <v>10</v>
      </c>
      <c r="K356" s="1">
        <v>0</v>
      </c>
      <c r="L356" s="1">
        <v>0</v>
      </c>
      <c r="M356" s="16"/>
      <c r="N356" s="39" t="e">
        <f>Data[[#This Row],[Gross Wages]]/Data[[#This Row],[No. of Hours Worked]]</f>
        <v>#DIV/0!</v>
      </c>
      <c r="P356" s="33"/>
    </row>
    <row r="357" spans="1:16" x14ac:dyDescent="0.3">
      <c r="A357" s="3" t="s">
        <v>127</v>
      </c>
      <c r="B357" s="1">
        <v>2024</v>
      </c>
      <c r="C357" s="10">
        <v>45627</v>
      </c>
      <c r="D357" s="34" t="s">
        <v>77</v>
      </c>
      <c r="E357" s="1" t="s">
        <v>66</v>
      </c>
      <c r="F357" s="1" t="s">
        <v>93</v>
      </c>
      <c r="G357" s="1" t="s">
        <v>68</v>
      </c>
      <c r="H357" s="2" t="s">
        <v>94</v>
      </c>
      <c r="I357" s="1" t="s">
        <v>0</v>
      </c>
      <c r="J357" s="1" t="s">
        <v>9</v>
      </c>
      <c r="K357" s="1">
        <v>3</v>
      </c>
      <c r="L357" s="1">
        <v>168</v>
      </c>
      <c r="M357" s="28">
        <v>5658.24</v>
      </c>
      <c r="N357" s="39">
        <f>Data[[#This Row],[Gross Wages]]/Data[[#This Row],[No. of Hours Worked]]</f>
        <v>33.68</v>
      </c>
      <c r="P357" s="33"/>
    </row>
    <row r="358" spans="1:16" x14ac:dyDescent="0.3">
      <c r="A358" s="3" t="s">
        <v>140</v>
      </c>
      <c r="B358" s="1">
        <v>2024</v>
      </c>
      <c r="C358" s="10">
        <v>45627</v>
      </c>
      <c r="D358" s="34" t="s">
        <v>77</v>
      </c>
      <c r="E358" s="1" t="s">
        <v>66</v>
      </c>
      <c r="F358" s="1" t="s">
        <v>72</v>
      </c>
      <c r="G358" s="1" t="s">
        <v>73</v>
      </c>
      <c r="H358" s="2" t="s">
        <v>74</v>
      </c>
      <c r="I358" s="1" t="s">
        <v>0</v>
      </c>
      <c r="J358" s="1" t="s">
        <v>9</v>
      </c>
      <c r="K358" s="1">
        <v>2</v>
      </c>
      <c r="L358" s="1">
        <v>10</v>
      </c>
      <c r="M358" s="28">
        <v>265</v>
      </c>
      <c r="N358" s="39">
        <f>Data[[#This Row],[Gross Wages]]/Data[[#This Row],[No. of Hours Worked]]</f>
        <v>26.5</v>
      </c>
      <c r="P358" s="33"/>
    </row>
    <row r="359" spans="1:16" x14ac:dyDescent="0.3">
      <c r="A359" s="3" t="s">
        <v>140</v>
      </c>
      <c r="B359" s="1">
        <v>2024</v>
      </c>
      <c r="C359" s="10">
        <v>45627</v>
      </c>
      <c r="D359" s="34" t="s">
        <v>77</v>
      </c>
      <c r="E359" s="1" t="s">
        <v>66</v>
      </c>
      <c r="F359" s="1" t="s">
        <v>70</v>
      </c>
      <c r="G359" s="1" t="s">
        <v>68</v>
      </c>
      <c r="H359" s="2" t="s">
        <v>71</v>
      </c>
      <c r="I359" s="1" t="s">
        <v>0</v>
      </c>
      <c r="J359" s="1" t="s">
        <v>10</v>
      </c>
      <c r="K359" s="1">
        <v>1</v>
      </c>
      <c r="L359" s="1">
        <v>40</v>
      </c>
      <c r="M359" s="28">
        <v>1244</v>
      </c>
      <c r="N359" s="39">
        <f>Data[[#This Row],[Gross Wages]]/Data[[#This Row],[No. of Hours Worked]]</f>
        <v>31.1</v>
      </c>
      <c r="P359" s="33"/>
    </row>
    <row r="360" spans="1:16" x14ac:dyDescent="0.3">
      <c r="A360" s="3" t="s">
        <v>140</v>
      </c>
      <c r="B360" s="1">
        <v>2024</v>
      </c>
      <c r="C360" s="10">
        <v>45627</v>
      </c>
      <c r="D360" s="34" t="s">
        <v>77</v>
      </c>
      <c r="E360" s="1" t="s">
        <v>66</v>
      </c>
      <c r="F360" s="1" t="s">
        <v>141</v>
      </c>
      <c r="G360" s="1" t="s">
        <v>68</v>
      </c>
      <c r="H360" s="2" t="s">
        <v>142</v>
      </c>
      <c r="I360" s="1" t="s">
        <v>0</v>
      </c>
      <c r="J360" s="1" t="s">
        <v>9</v>
      </c>
      <c r="K360" s="1">
        <v>2</v>
      </c>
      <c r="L360" s="1">
        <v>76</v>
      </c>
      <c r="M360" s="28">
        <v>2314.88</v>
      </c>
      <c r="N360" s="39">
        <f>Data[[#This Row],[Gross Wages]]/Data[[#This Row],[No. of Hours Worked]]</f>
        <v>30.458947368421054</v>
      </c>
      <c r="P360" s="33"/>
    </row>
    <row r="361" spans="1:16" x14ac:dyDescent="0.3">
      <c r="A361" s="3" t="s">
        <v>140</v>
      </c>
      <c r="B361" s="1">
        <v>2024</v>
      </c>
      <c r="C361" s="10">
        <v>45627</v>
      </c>
      <c r="D361" s="34" t="s">
        <v>77</v>
      </c>
      <c r="E361" s="1" t="s">
        <v>66</v>
      </c>
      <c r="F361" s="1" t="s">
        <v>70</v>
      </c>
      <c r="G361" s="1" t="s">
        <v>68</v>
      </c>
      <c r="H361" s="2" t="s">
        <v>71</v>
      </c>
      <c r="I361" s="1" t="s">
        <v>0</v>
      </c>
      <c r="J361" s="1" t="s">
        <v>9</v>
      </c>
      <c r="K361" s="1">
        <v>10</v>
      </c>
      <c r="L361" s="1">
        <v>680</v>
      </c>
      <c r="M361" s="28">
        <v>20129.919999999998</v>
      </c>
      <c r="N361" s="39">
        <f>Data[[#This Row],[Gross Wages]]/Data[[#This Row],[No. of Hours Worked]]</f>
        <v>29.602823529411761</v>
      </c>
      <c r="P361" s="33"/>
    </row>
    <row r="362" spans="1:16" x14ac:dyDescent="0.3">
      <c r="A362" s="3" t="s">
        <v>47</v>
      </c>
      <c r="B362" s="1">
        <v>2024</v>
      </c>
      <c r="C362" s="10">
        <v>45627</v>
      </c>
      <c r="D362" s="2" t="s">
        <v>77</v>
      </c>
      <c r="E362" s="1" t="s">
        <v>80</v>
      </c>
      <c r="F362" s="1" t="s">
        <v>81</v>
      </c>
      <c r="G362" s="1" t="s">
        <v>68</v>
      </c>
      <c r="H362" s="2" t="s">
        <v>83</v>
      </c>
      <c r="I362" s="1" t="s">
        <v>0</v>
      </c>
      <c r="J362" s="1" t="s">
        <v>9</v>
      </c>
      <c r="K362" s="1">
        <v>2</v>
      </c>
      <c r="L362" s="1">
        <v>47.75</v>
      </c>
      <c r="M362" s="16">
        <v>2204.08</v>
      </c>
      <c r="N362" s="39">
        <f>Data[[#This Row],[Gross Wages]]/Data[[#This Row],[No. of Hours Worked]]</f>
        <v>46.15874345549738</v>
      </c>
      <c r="P362" s="33"/>
    </row>
    <row r="363" spans="1:16" x14ac:dyDescent="0.3">
      <c r="A363" s="3" t="s">
        <v>47</v>
      </c>
      <c r="B363" s="1">
        <v>2024</v>
      </c>
      <c r="C363" s="10">
        <v>45627</v>
      </c>
      <c r="D363" s="2" t="s">
        <v>77</v>
      </c>
      <c r="E363" s="1" t="s">
        <v>80</v>
      </c>
      <c r="F363" s="1" t="s">
        <v>81</v>
      </c>
      <c r="G363" s="1" t="s">
        <v>68</v>
      </c>
      <c r="H363" s="2" t="s">
        <v>83</v>
      </c>
      <c r="I363" s="1" t="s">
        <v>0</v>
      </c>
      <c r="J363" s="1" t="s">
        <v>10</v>
      </c>
      <c r="K363" s="1">
        <v>0</v>
      </c>
      <c r="L363" s="1">
        <v>0</v>
      </c>
      <c r="M363" s="16"/>
      <c r="N363" s="39" t="e">
        <f>Data[[#This Row],[Gross Wages]]/Data[[#This Row],[No. of Hours Worked]]</f>
        <v>#DIV/0!</v>
      </c>
      <c r="P363" s="33"/>
    </row>
    <row r="364" spans="1:16" x14ac:dyDescent="0.3">
      <c r="A364" s="3" t="s">
        <v>112</v>
      </c>
      <c r="B364" s="1">
        <v>2024</v>
      </c>
      <c r="C364" s="10">
        <v>45627</v>
      </c>
      <c r="D364" s="2" t="s">
        <v>77</v>
      </c>
      <c r="E364" s="18" t="s">
        <v>66</v>
      </c>
      <c r="F364" s="18" t="s">
        <v>109</v>
      </c>
      <c r="G364" s="19" t="s">
        <v>68</v>
      </c>
      <c r="H364" s="23" t="s">
        <v>110</v>
      </c>
      <c r="I364" s="71" t="s">
        <v>0</v>
      </c>
      <c r="J364" s="71" t="s">
        <v>9</v>
      </c>
      <c r="K364" s="71">
        <v>1</v>
      </c>
      <c r="L364" s="71">
        <v>8</v>
      </c>
      <c r="M364" s="40">
        <v>226.8</v>
      </c>
      <c r="N364" s="39">
        <f>Data[[#This Row],[Gross Wages]]/Data[[#This Row],[No. of Hours Worked]]</f>
        <v>28.35</v>
      </c>
      <c r="P364" s="33"/>
    </row>
    <row r="365" spans="1:16" x14ac:dyDescent="0.3">
      <c r="A365" s="3" t="s">
        <v>112</v>
      </c>
      <c r="B365" s="1">
        <v>2024</v>
      </c>
      <c r="C365" s="10">
        <v>45627</v>
      </c>
      <c r="D365" s="2" t="s">
        <v>77</v>
      </c>
      <c r="E365" s="18" t="s">
        <v>66</v>
      </c>
      <c r="F365" s="18" t="s">
        <v>109</v>
      </c>
      <c r="G365" s="19" t="s">
        <v>68</v>
      </c>
      <c r="H365" s="23" t="s">
        <v>110</v>
      </c>
      <c r="I365" s="71" t="s">
        <v>111</v>
      </c>
      <c r="J365" s="71" t="s">
        <v>9</v>
      </c>
      <c r="K365" s="71">
        <v>1</v>
      </c>
      <c r="L365" s="71">
        <v>16</v>
      </c>
      <c r="M365" s="40">
        <v>502.88</v>
      </c>
      <c r="N365" s="39">
        <f>Data[[#This Row],[Gross Wages]]/Data[[#This Row],[No. of Hours Worked]]</f>
        <v>31.43</v>
      </c>
      <c r="P365" s="33"/>
    </row>
    <row r="366" spans="1:16" x14ac:dyDescent="0.3">
      <c r="A366" s="3" t="s">
        <v>128</v>
      </c>
      <c r="B366" s="1">
        <v>2024</v>
      </c>
      <c r="C366" s="10">
        <v>45627</v>
      </c>
      <c r="D366" s="34" t="s">
        <v>77</v>
      </c>
      <c r="E366" s="1" t="s">
        <v>66</v>
      </c>
      <c r="F366" s="1" t="s">
        <v>97</v>
      </c>
      <c r="G366" s="1" t="s">
        <v>68</v>
      </c>
      <c r="H366" s="2" t="s">
        <v>98</v>
      </c>
      <c r="I366" s="1" t="s">
        <v>0</v>
      </c>
      <c r="J366" s="1" t="s">
        <v>9</v>
      </c>
      <c r="K366" s="1">
        <v>7</v>
      </c>
      <c r="L366" s="1">
        <v>301</v>
      </c>
      <c r="M366" s="28">
        <v>12336.29</v>
      </c>
      <c r="N366" s="39">
        <f>Data[[#This Row],[Gross Wages]]/Data[[#This Row],[No. of Hours Worked]]</f>
        <v>40.984352159468443</v>
      </c>
      <c r="P366" s="33"/>
    </row>
    <row r="367" spans="1:16" x14ac:dyDescent="0.3">
      <c r="A367" s="3" t="s">
        <v>48</v>
      </c>
      <c r="B367" s="1">
        <v>2024</v>
      </c>
      <c r="C367" s="10">
        <v>45627</v>
      </c>
      <c r="D367" s="2" t="s">
        <v>77</v>
      </c>
      <c r="E367" s="1" t="s">
        <v>66</v>
      </c>
      <c r="F367" s="1" t="s">
        <v>84</v>
      </c>
      <c r="G367" s="1" t="s">
        <v>68</v>
      </c>
      <c r="H367" s="2" t="s">
        <v>85</v>
      </c>
      <c r="I367" s="1" t="s">
        <v>0</v>
      </c>
      <c r="J367" s="1" t="s">
        <v>9</v>
      </c>
      <c r="K367" s="1">
        <v>10</v>
      </c>
      <c r="L367" s="1">
        <v>692.5</v>
      </c>
      <c r="M367" s="28">
        <v>28730.25</v>
      </c>
      <c r="N367" s="39">
        <f>Data[[#This Row],[Gross Wages]]/Data[[#This Row],[No. of Hours Worked]]</f>
        <v>41.487725631768953</v>
      </c>
      <c r="P367" s="33"/>
    </row>
    <row r="368" spans="1:16" x14ac:dyDescent="0.3">
      <c r="A368" s="3" t="s">
        <v>49</v>
      </c>
      <c r="B368" s="1">
        <v>2024</v>
      </c>
      <c r="C368" s="10">
        <v>45627</v>
      </c>
      <c r="D368" s="2" t="s">
        <v>77</v>
      </c>
      <c r="E368" s="1" t="s">
        <v>66</v>
      </c>
      <c r="F368" s="1" t="s">
        <v>67</v>
      </c>
      <c r="G368" s="1" t="s">
        <v>68</v>
      </c>
      <c r="H368" s="2" t="s">
        <v>69</v>
      </c>
      <c r="I368" s="1" t="s">
        <v>0</v>
      </c>
      <c r="J368" s="1" t="s">
        <v>9</v>
      </c>
      <c r="K368" s="1">
        <v>8</v>
      </c>
      <c r="L368" s="1">
        <v>1029</v>
      </c>
      <c r="M368" s="16">
        <v>74252.639999999999</v>
      </c>
      <c r="N368" s="39">
        <f>Data[[#This Row],[Gross Wages]]/Data[[#This Row],[No. of Hours Worked]]</f>
        <v>72.16</v>
      </c>
      <c r="P368" s="33"/>
    </row>
    <row r="369" spans="1:16" x14ac:dyDescent="0.3">
      <c r="A369" s="3" t="s">
        <v>49</v>
      </c>
      <c r="B369" s="1">
        <v>2024</v>
      </c>
      <c r="C369" s="10">
        <v>45627</v>
      </c>
      <c r="D369" s="2" t="s">
        <v>77</v>
      </c>
      <c r="E369" s="1" t="s">
        <v>66</v>
      </c>
      <c r="F369" s="1" t="s">
        <v>67</v>
      </c>
      <c r="G369" s="1" t="s">
        <v>68</v>
      </c>
      <c r="H369" s="2" t="s">
        <v>69</v>
      </c>
      <c r="I369" s="1" t="s">
        <v>0</v>
      </c>
      <c r="J369" s="1" t="s">
        <v>10</v>
      </c>
      <c r="K369" s="1">
        <v>0</v>
      </c>
      <c r="L369" s="1">
        <v>0</v>
      </c>
      <c r="M369" s="16"/>
      <c r="N369" s="39" t="e">
        <f>Data[[#This Row],[Gross Wages]]/Data[[#This Row],[No. of Hours Worked]]</f>
        <v>#DIV/0!</v>
      </c>
      <c r="P369" s="33"/>
    </row>
    <row r="370" spans="1:16" x14ac:dyDescent="0.3">
      <c r="A370" s="3" t="s">
        <v>50</v>
      </c>
      <c r="B370" s="1">
        <v>2024</v>
      </c>
      <c r="C370" s="10">
        <v>45627</v>
      </c>
      <c r="D370" s="2" t="s">
        <v>77</v>
      </c>
      <c r="E370" s="1" t="s">
        <v>66</v>
      </c>
      <c r="F370" s="1" t="s">
        <v>100</v>
      </c>
      <c r="G370" s="1" t="s">
        <v>68</v>
      </c>
      <c r="H370" s="2" t="s">
        <v>101</v>
      </c>
      <c r="I370" s="1" t="s">
        <v>0</v>
      </c>
      <c r="J370" s="1" t="s">
        <v>9</v>
      </c>
      <c r="K370" s="1">
        <v>8</v>
      </c>
      <c r="L370" s="1">
        <v>634.14</v>
      </c>
      <c r="M370" s="16">
        <v>22034.04</v>
      </c>
      <c r="N370" s="39">
        <f>Data[[#This Row],[Gross Wages]]/Data[[#This Row],[No. of Hours Worked]]</f>
        <v>34.74633361718233</v>
      </c>
      <c r="P370" s="33"/>
    </row>
    <row r="371" spans="1:16" x14ac:dyDescent="0.3">
      <c r="A371" s="3" t="s">
        <v>50</v>
      </c>
      <c r="B371" s="1">
        <v>2024</v>
      </c>
      <c r="C371" s="10">
        <v>45627</v>
      </c>
      <c r="D371" s="2" t="s">
        <v>77</v>
      </c>
      <c r="E371" s="1" t="s">
        <v>66</v>
      </c>
      <c r="F371" s="1" t="s">
        <v>100</v>
      </c>
      <c r="G371" s="1" t="s">
        <v>68</v>
      </c>
      <c r="H371" s="2" t="s">
        <v>101</v>
      </c>
      <c r="I371" s="1" t="s">
        <v>0</v>
      </c>
      <c r="J371" s="1" t="s">
        <v>10</v>
      </c>
      <c r="K371" s="1">
        <v>0</v>
      </c>
      <c r="L371" s="1">
        <v>0</v>
      </c>
      <c r="M371" s="16"/>
      <c r="N371" s="39" t="e">
        <f>Data[[#This Row],[Gross Wages]]/Data[[#This Row],[No. of Hours Worked]]</f>
        <v>#DIV/0!</v>
      </c>
      <c r="P371" s="33"/>
    </row>
    <row r="372" spans="1:16" x14ac:dyDescent="0.3">
      <c r="A372" s="3" t="s">
        <v>51</v>
      </c>
      <c r="B372" s="1">
        <v>2024</v>
      </c>
      <c r="C372" s="10">
        <v>45627</v>
      </c>
      <c r="D372" s="2" t="s">
        <v>77</v>
      </c>
      <c r="E372" s="1" t="s">
        <v>66</v>
      </c>
      <c r="F372" s="1" t="s">
        <v>72</v>
      </c>
      <c r="G372" s="1" t="s">
        <v>73</v>
      </c>
      <c r="H372" s="2" t="s">
        <v>74</v>
      </c>
      <c r="I372" s="1" t="s">
        <v>0</v>
      </c>
      <c r="J372" s="1" t="s">
        <v>9</v>
      </c>
      <c r="K372" s="1">
        <v>5</v>
      </c>
      <c r="L372" s="1">
        <v>277.04000000000002</v>
      </c>
      <c r="M372" s="16">
        <v>11646.95</v>
      </c>
      <c r="N372" s="39">
        <f>Data[[#This Row],[Gross Wages]]/Data[[#This Row],[No. of Hours Worked]]</f>
        <v>42.040680046202716</v>
      </c>
      <c r="P372" s="33"/>
    </row>
    <row r="373" spans="1:16" x14ac:dyDescent="0.3">
      <c r="A373" s="3" t="s">
        <v>51</v>
      </c>
      <c r="B373" s="17">
        <v>2024</v>
      </c>
      <c r="C373" s="11">
        <v>45627</v>
      </c>
      <c r="D373" s="35" t="s">
        <v>77</v>
      </c>
      <c r="E373" s="17" t="s">
        <v>66</v>
      </c>
      <c r="F373" s="17" t="s">
        <v>72</v>
      </c>
      <c r="G373" s="17" t="s">
        <v>73</v>
      </c>
      <c r="H373" s="35" t="s">
        <v>74</v>
      </c>
      <c r="I373" s="1" t="s">
        <v>0</v>
      </c>
      <c r="J373" s="17" t="s">
        <v>10</v>
      </c>
      <c r="K373" s="17">
        <v>0</v>
      </c>
      <c r="L373" s="17">
        <v>0</v>
      </c>
      <c r="M373" s="24"/>
      <c r="N373" s="39" t="e">
        <f>Data[[#This Row],[Gross Wages]]/Data[[#This Row],[No. of Hours Worked]]</f>
        <v>#DIV/0!</v>
      </c>
      <c r="P373" s="33"/>
    </row>
    <row r="374" spans="1:16" x14ac:dyDescent="0.3">
      <c r="A374" s="3" t="s">
        <v>52</v>
      </c>
      <c r="B374" s="1">
        <v>2024</v>
      </c>
      <c r="C374" s="10">
        <v>45627</v>
      </c>
      <c r="D374" s="2" t="s">
        <v>77</v>
      </c>
      <c r="E374" s="1" t="s">
        <v>66</v>
      </c>
      <c r="F374" s="1" t="s">
        <v>90</v>
      </c>
      <c r="G374" s="1" t="s">
        <v>68</v>
      </c>
      <c r="H374" s="2" t="s">
        <v>99</v>
      </c>
      <c r="I374" s="1" t="s">
        <v>0</v>
      </c>
      <c r="J374" s="1" t="s">
        <v>9</v>
      </c>
      <c r="K374" s="1">
        <v>2</v>
      </c>
      <c r="L374" s="1">
        <v>159</v>
      </c>
      <c r="M374" s="16">
        <v>9877.6200000000008</v>
      </c>
      <c r="N374" s="39">
        <f>Data[[#This Row],[Gross Wages]]/Data[[#This Row],[No. of Hours Worked]]</f>
        <v>62.123396226415096</v>
      </c>
      <c r="P374" s="33"/>
    </row>
    <row r="375" spans="1:16" x14ac:dyDescent="0.3">
      <c r="A375" s="3" t="s">
        <v>52</v>
      </c>
      <c r="B375" s="1">
        <v>2024</v>
      </c>
      <c r="C375" s="10">
        <v>45627</v>
      </c>
      <c r="D375" s="2" t="s">
        <v>77</v>
      </c>
      <c r="E375" s="1" t="s">
        <v>66</v>
      </c>
      <c r="F375" s="1" t="s">
        <v>90</v>
      </c>
      <c r="G375" s="1" t="s">
        <v>68</v>
      </c>
      <c r="H375" s="2" t="s">
        <v>99</v>
      </c>
      <c r="I375" s="1" t="s">
        <v>0</v>
      </c>
      <c r="J375" s="1" t="s">
        <v>10</v>
      </c>
      <c r="K375" s="1">
        <v>0</v>
      </c>
      <c r="L375" s="1">
        <v>0</v>
      </c>
      <c r="M375" s="16"/>
      <c r="N375" s="39" t="e">
        <f>Data[[#This Row],[Gross Wages]]/Data[[#This Row],[No. of Hours Worked]]</f>
        <v>#DIV/0!</v>
      </c>
      <c r="P375" s="33"/>
    </row>
    <row r="376" spans="1:16" x14ac:dyDescent="0.3">
      <c r="A376" s="3" t="s">
        <v>123</v>
      </c>
      <c r="B376" s="1">
        <v>2024</v>
      </c>
      <c r="C376" s="10">
        <v>45627</v>
      </c>
      <c r="D376" s="34" t="s">
        <v>77</v>
      </c>
      <c r="E376" s="1" t="s">
        <v>66</v>
      </c>
      <c r="F376" s="1" t="s">
        <v>67</v>
      </c>
      <c r="G376" s="1" t="s">
        <v>68</v>
      </c>
      <c r="H376" s="2" t="s">
        <v>69</v>
      </c>
      <c r="I376" s="1" t="s">
        <v>0</v>
      </c>
      <c r="J376" s="1" t="s">
        <v>9</v>
      </c>
      <c r="K376" s="1">
        <v>2</v>
      </c>
      <c r="L376" s="1">
        <v>254</v>
      </c>
      <c r="M376" s="28">
        <v>8804.2199999999993</v>
      </c>
      <c r="N376" s="39">
        <f>Data[[#This Row],[Gross Wages]]/Data[[#This Row],[No. of Hours Worked]]</f>
        <v>34.662283464566926</v>
      </c>
      <c r="P376" s="33"/>
    </row>
    <row r="377" spans="1:16" x14ac:dyDescent="0.3">
      <c r="A377" s="3" t="s">
        <v>144</v>
      </c>
      <c r="B377" s="1">
        <v>2024</v>
      </c>
      <c r="C377" s="10">
        <v>45627</v>
      </c>
      <c r="D377" s="34" t="s">
        <v>77</v>
      </c>
      <c r="E377" s="1" t="s">
        <v>66</v>
      </c>
      <c r="F377" s="1" t="s">
        <v>95</v>
      </c>
      <c r="G377" s="1" t="s">
        <v>68</v>
      </c>
      <c r="H377" s="2" t="s">
        <v>96</v>
      </c>
      <c r="I377" s="1" t="s">
        <v>0</v>
      </c>
      <c r="J377" s="1" t="s">
        <v>9</v>
      </c>
      <c r="K377" s="1">
        <v>3</v>
      </c>
      <c r="L377" s="1">
        <v>169</v>
      </c>
      <c r="M377" s="28">
        <v>9940.01</v>
      </c>
      <c r="N377" s="39">
        <f>Data[[#This Row],[Gross Wages]]/Data[[#This Row],[No. of Hours Worked]]</f>
        <v>58.816627218934912</v>
      </c>
      <c r="P377" s="33"/>
    </row>
    <row r="378" spans="1:16" x14ac:dyDescent="0.3">
      <c r="A378" s="3" t="s">
        <v>144</v>
      </c>
      <c r="B378" s="1">
        <v>2024</v>
      </c>
      <c r="C378" s="10">
        <v>45627</v>
      </c>
      <c r="D378" s="34" t="s">
        <v>77</v>
      </c>
      <c r="E378" s="1" t="s">
        <v>66</v>
      </c>
      <c r="F378" s="1" t="s">
        <v>145</v>
      </c>
      <c r="G378" s="1" t="s">
        <v>68</v>
      </c>
      <c r="H378" s="2" t="s">
        <v>146</v>
      </c>
      <c r="I378" s="1" t="s">
        <v>0</v>
      </c>
      <c r="J378" s="1" t="s">
        <v>9</v>
      </c>
      <c r="K378" s="1">
        <v>2</v>
      </c>
      <c r="L378" s="1">
        <v>226.5</v>
      </c>
      <c r="M378" s="28">
        <v>9351.4</v>
      </c>
      <c r="N378" s="39">
        <f>Data[[#This Row],[Gross Wages]]/Data[[#This Row],[No. of Hours Worked]]</f>
        <v>41.286534216335539</v>
      </c>
      <c r="P378" s="33"/>
    </row>
    <row r="379" spans="1:16" x14ac:dyDescent="0.3">
      <c r="A379" s="3" t="s">
        <v>144</v>
      </c>
      <c r="B379" s="1">
        <v>2024</v>
      </c>
      <c r="C379" s="10">
        <v>45627</v>
      </c>
      <c r="D379" s="34" t="s">
        <v>77</v>
      </c>
      <c r="E379" s="1" t="s">
        <v>66</v>
      </c>
      <c r="F379" s="1" t="s">
        <v>95</v>
      </c>
      <c r="G379" s="1" t="s">
        <v>68</v>
      </c>
      <c r="H379" s="2" t="s">
        <v>96</v>
      </c>
      <c r="I379" s="1" t="s">
        <v>3</v>
      </c>
      <c r="J379" s="1" t="s">
        <v>9</v>
      </c>
      <c r="K379" s="1">
        <v>1</v>
      </c>
      <c r="L379" s="1">
        <v>16</v>
      </c>
      <c r="M379" s="28">
        <v>1600</v>
      </c>
      <c r="N379" s="39">
        <f>Data[[#This Row],[Gross Wages]]/Data[[#This Row],[No. of Hours Worked]]</f>
        <v>100</v>
      </c>
      <c r="P379" s="33"/>
    </row>
    <row r="380" spans="1:16" x14ac:dyDescent="0.3">
      <c r="A380" s="3" t="s">
        <v>144</v>
      </c>
      <c r="B380" s="1">
        <v>2024</v>
      </c>
      <c r="C380" s="10">
        <v>45627</v>
      </c>
      <c r="D380" s="34" t="s">
        <v>77</v>
      </c>
      <c r="E380" s="1" t="s">
        <v>66</v>
      </c>
      <c r="F380" s="1" t="s">
        <v>145</v>
      </c>
      <c r="G380" s="1" t="s">
        <v>68</v>
      </c>
      <c r="H380" s="2" t="s">
        <v>146</v>
      </c>
      <c r="I380" s="1" t="s">
        <v>111</v>
      </c>
      <c r="J380" s="1" t="s">
        <v>9</v>
      </c>
      <c r="K380" s="1">
        <v>1</v>
      </c>
      <c r="L380" s="1">
        <v>114</v>
      </c>
      <c r="M380" s="28">
        <v>4255.2</v>
      </c>
      <c r="N380" s="39">
        <f>Data[[#This Row],[Gross Wages]]/Data[[#This Row],[No. of Hours Worked]]</f>
        <v>37.326315789473682</v>
      </c>
      <c r="P380" s="33"/>
    </row>
    <row r="381" spans="1:16" x14ac:dyDescent="0.3">
      <c r="A381" s="3" t="s">
        <v>144</v>
      </c>
      <c r="B381" s="1">
        <v>2024</v>
      </c>
      <c r="C381" s="10">
        <v>45627</v>
      </c>
      <c r="D381" s="34" t="s">
        <v>77</v>
      </c>
      <c r="E381" s="1" t="s">
        <v>66</v>
      </c>
      <c r="F381" s="1" t="s">
        <v>145</v>
      </c>
      <c r="G381" s="1" t="s">
        <v>68</v>
      </c>
      <c r="H381" s="2" t="s">
        <v>146</v>
      </c>
      <c r="I381" s="1" t="s">
        <v>1</v>
      </c>
      <c r="J381" s="1" t="s">
        <v>9</v>
      </c>
      <c r="K381" s="1">
        <v>1</v>
      </c>
      <c r="L381" s="1">
        <v>32</v>
      </c>
      <c r="M381" s="28">
        <v>1107.2</v>
      </c>
      <c r="N381" s="39">
        <f>Data[[#This Row],[Gross Wages]]/Data[[#This Row],[No. of Hours Worked]]</f>
        <v>34.6</v>
      </c>
      <c r="P381" s="33"/>
    </row>
    <row r="382" spans="1:16" x14ac:dyDescent="0.3">
      <c r="A382" s="3" t="s">
        <v>132</v>
      </c>
      <c r="B382" s="1">
        <v>2024</v>
      </c>
      <c r="C382" s="10">
        <v>45627</v>
      </c>
      <c r="D382" s="34" t="s">
        <v>77</v>
      </c>
      <c r="E382" s="1" t="s">
        <v>66</v>
      </c>
      <c r="F382" s="1" t="s">
        <v>133</v>
      </c>
      <c r="G382" s="1" t="s">
        <v>68</v>
      </c>
      <c r="H382" s="1" t="s">
        <v>134</v>
      </c>
      <c r="I382" s="2" t="s">
        <v>0</v>
      </c>
      <c r="J382" s="1" t="s">
        <v>9</v>
      </c>
      <c r="K382" s="1">
        <v>4</v>
      </c>
      <c r="L382" s="1">
        <v>41</v>
      </c>
      <c r="M382" s="28">
        <v>1457.09</v>
      </c>
      <c r="N382" s="39">
        <f>Data[[#This Row],[Gross Wages]]/Data[[#This Row],[No. of Hours Worked]]</f>
        <v>35.538780487804878</v>
      </c>
      <c r="P382" s="33"/>
    </row>
    <row r="383" spans="1:16" x14ac:dyDescent="0.3">
      <c r="A383" s="3" t="s">
        <v>132</v>
      </c>
      <c r="B383" s="1">
        <v>2024</v>
      </c>
      <c r="C383" s="10">
        <v>45627</v>
      </c>
      <c r="D383" s="34" t="s">
        <v>77</v>
      </c>
      <c r="E383" s="1" t="s">
        <v>66</v>
      </c>
      <c r="F383" s="1" t="s">
        <v>125</v>
      </c>
      <c r="G383" s="1" t="s">
        <v>68</v>
      </c>
      <c r="H383" s="1" t="s">
        <v>126</v>
      </c>
      <c r="I383" s="2" t="s">
        <v>2</v>
      </c>
      <c r="J383" s="1" t="s">
        <v>9</v>
      </c>
      <c r="K383" s="1">
        <v>4</v>
      </c>
      <c r="L383" s="1">
        <v>324.5</v>
      </c>
      <c r="M383" s="41">
        <v>8856.4500000000007</v>
      </c>
      <c r="N383" s="39">
        <f>Data[[#This Row],[Gross Wages]]/Data[[#This Row],[No. of Hours Worked]]</f>
        <v>27.29260400616333</v>
      </c>
      <c r="P383" s="33"/>
    </row>
    <row r="384" spans="1:16" x14ac:dyDescent="0.3">
      <c r="A384" s="3" t="s">
        <v>132</v>
      </c>
      <c r="B384" s="1">
        <v>2024</v>
      </c>
      <c r="C384" s="10">
        <v>45627</v>
      </c>
      <c r="D384" s="34" t="s">
        <v>77</v>
      </c>
      <c r="E384" s="1" t="s">
        <v>66</v>
      </c>
      <c r="F384" s="1" t="s">
        <v>125</v>
      </c>
      <c r="G384" s="1" t="s">
        <v>68</v>
      </c>
      <c r="H384" s="1" t="s">
        <v>126</v>
      </c>
      <c r="I384" s="2" t="s">
        <v>0</v>
      </c>
      <c r="J384" s="1" t="s">
        <v>9</v>
      </c>
      <c r="K384" s="1">
        <v>10</v>
      </c>
      <c r="L384" s="1">
        <v>484</v>
      </c>
      <c r="M384" s="28">
        <v>15461.46</v>
      </c>
      <c r="N384" s="39">
        <f>Data[[#This Row],[Gross Wages]]/Data[[#This Row],[No. of Hours Worked]]</f>
        <v>31.945165289256195</v>
      </c>
      <c r="P384" s="33"/>
    </row>
    <row r="385" spans="1:16" x14ac:dyDescent="0.3">
      <c r="A385" s="3" t="s">
        <v>39</v>
      </c>
      <c r="B385" s="1">
        <v>2025</v>
      </c>
      <c r="C385" s="10">
        <v>45658</v>
      </c>
      <c r="D385" s="2" t="s">
        <v>86</v>
      </c>
      <c r="E385" s="1" t="s">
        <v>66</v>
      </c>
      <c r="F385" s="1" t="s">
        <v>78</v>
      </c>
      <c r="G385" s="1" t="s">
        <v>68</v>
      </c>
      <c r="H385" s="2" t="s">
        <v>79</v>
      </c>
      <c r="I385" s="1" t="s">
        <v>0</v>
      </c>
      <c r="J385" s="1" t="s">
        <v>9</v>
      </c>
      <c r="K385" s="1">
        <v>1</v>
      </c>
      <c r="L385" s="1">
        <v>4.5</v>
      </c>
      <c r="M385" s="28">
        <v>189.68</v>
      </c>
      <c r="N385" s="39">
        <f>Data[[#This Row],[Gross Wages]]/Data[[#This Row],[No. of Hours Worked]]</f>
        <v>42.151111111111113</v>
      </c>
      <c r="P385" s="33"/>
    </row>
    <row r="386" spans="1:16" x14ac:dyDescent="0.3">
      <c r="A386" s="3" t="s">
        <v>40</v>
      </c>
      <c r="B386" s="1">
        <v>2025</v>
      </c>
      <c r="C386" s="10">
        <v>45658</v>
      </c>
      <c r="D386" s="2" t="s">
        <v>86</v>
      </c>
      <c r="E386" s="1" t="s">
        <v>66</v>
      </c>
      <c r="F386" s="1" t="s">
        <v>91</v>
      </c>
      <c r="G386" s="1" t="s">
        <v>68</v>
      </c>
      <c r="H386" s="2" t="s">
        <v>92</v>
      </c>
      <c r="I386" s="1" t="s">
        <v>0</v>
      </c>
      <c r="J386" s="1" t="s">
        <v>10</v>
      </c>
      <c r="K386" s="1">
        <v>1</v>
      </c>
      <c r="L386" s="1">
        <v>16</v>
      </c>
      <c r="M386" s="28">
        <v>554.4</v>
      </c>
      <c r="N386" s="39">
        <f>Data[[#This Row],[Gross Wages]]/Data[[#This Row],[No. of Hours Worked]]</f>
        <v>34.65</v>
      </c>
      <c r="P386" s="33"/>
    </row>
    <row r="387" spans="1:16" x14ac:dyDescent="0.3">
      <c r="A387" s="3" t="s">
        <v>40</v>
      </c>
      <c r="B387" s="1">
        <v>2025</v>
      </c>
      <c r="C387" s="10">
        <v>45658</v>
      </c>
      <c r="D387" s="2" t="s">
        <v>86</v>
      </c>
      <c r="E387" s="1" t="s">
        <v>66</v>
      </c>
      <c r="F387" s="1" t="s">
        <v>78</v>
      </c>
      <c r="G387" s="1" t="s">
        <v>68</v>
      </c>
      <c r="H387" s="2" t="s">
        <v>79</v>
      </c>
      <c r="I387" s="1" t="s">
        <v>0</v>
      </c>
      <c r="J387" s="1" t="s">
        <v>9</v>
      </c>
      <c r="K387" s="1">
        <v>1</v>
      </c>
      <c r="L387" s="1">
        <v>63</v>
      </c>
      <c r="M387" s="28">
        <v>2466.4499999999998</v>
      </c>
      <c r="N387" s="39">
        <f>Data[[#This Row],[Gross Wages]]/Data[[#This Row],[No. of Hours Worked]]</f>
        <v>39.15</v>
      </c>
      <c r="P387" s="33"/>
    </row>
    <row r="388" spans="1:16" x14ac:dyDescent="0.3">
      <c r="A388" s="3" t="s">
        <v>40</v>
      </c>
      <c r="B388" s="1">
        <v>2025</v>
      </c>
      <c r="C388" s="10">
        <v>45658</v>
      </c>
      <c r="D388" s="2" t="s">
        <v>86</v>
      </c>
      <c r="E388" s="1" t="s">
        <v>66</v>
      </c>
      <c r="F388" s="1" t="s">
        <v>91</v>
      </c>
      <c r="G388" s="1" t="s">
        <v>68</v>
      </c>
      <c r="H388" s="2" t="s">
        <v>92</v>
      </c>
      <c r="I388" s="1" t="s">
        <v>0</v>
      </c>
      <c r="J388" s="1" t="s">
        <v>9</v>
      </c>
      <c r="K388" s="1">
        <v>1</v>
      </c>
      <c r="L388" s="1">
        <v>134.5</v>
      </c>
      <c r="M388" s="28">
        <v>4660.43</v>
      </c>
      <c r="N388" s="39">
        <f>Data[[#This Row],[Gross Wages]]/Data[[#This Row],[No. of Hours Worked]]</f>
        <v>34.650037174721191</v>
      </c>
      <c r="P388" s="33"/>
    </row>
    <row r="389" spans="1:16" x14ac:dyDescent="0.3">
      <c r="A389" s="3" t="s">
        <v>41</v>
      </c>
      <c r="B389" s="1">
        <v>2025</v>
      </c>
      <c r="C389" s="10">
        <v>45658</v>
      </c>
      <c r="D389" s="2" t="s">
        <v>86</v>
      </c>
      <c r="E389" s="1" t="s">
        <v>66</v>
      </c>
      <c r="F389" s="1" t="s">
        <v>93</v>
      </c>
      <c r="G389" s="1" t="s">
        <v>68</v>
      </c>
      <c r="H389" s="2" t="s">
        <v>94</v>
      </c>
      <c r="I389" s="1" t="s">
        <v>0</v>
      </c>
      <c r="J389" s="1" t="s">
        <v>9</v>
      </c>
      <c r="K389" s="1">
        <v>4</v>
      </c>
      <c r="L389" s="1">
        <v>47</v>
      </c>
      <c r="M389" s="28">
        <v>2010.56</v>
      </c>
      <c r="N389" s="39">
        <f>Data[[#This Row],[Gross Wages]]/Data[[#This Row],[No. of Hours Worked]]</f>
        <v>42.777872340425532</v>
      </c>
      <c r="P389" s="33"/>
    </row>
    <row r="390" spans="1:16" x14ac:dyDescent="0.3">
      <c r="A390" s="3" t="s">
        <v>41</v>
      </c>
      <c r="B390" s="1">
        <v>2025</v>
      </c>
      <c r="C390" s="10">
        <v>45658</v>
      </c>
      <c r="D390" s="2" t="s">
        <v>86</v>
      </c>
      <c r="E390" s="1" t="s">
        <v>66</v>
      </c>
      <c r="F390" s="1" t="s">
        <v>93</v>
      </c>
      <c r="G390" s="1" t="s">
        <v>68</v>
      </c>
      <c r="H390" s="2" t="s">
        <v>94</v>
      </c>
      <c r="I390" s="1" t="s">
        <v>0</v>
      </c>
      <c r="J390" s="1" t="s">
        <v>9</v>
      </c>
      <c r="K390" s="1">
        <v>4</v>
      </c>
      <c r="L390" s="1">
        <v>47</v>
      </c>
      <c r="M390" s="28">
        <v>2010.56</v>
      </c>
      <c r="N390" s="39">
        <f>Data[[#This Row],[Gross Wages]]/Data[[#This Row],[No. of Hours Worked]]</f>
        <v>42.777872340425532</v>
      </c>
      <c r="P390" s="33"/>
    </row>
    <row r="391" spans="1:16" x14ac:dyDescent="0.3">
      <c r="A391" s="3" t="s">
        <v>43</v>
      </c>
      <c r="B391" s="1">
        <v>2025</v>
      </c>
      <c r="C391" s="10">
        <v>45658</v>
      </c>
      <c r="D391" s="2" t="s">
        <v>86</v>
      </c>
      <c r="E391" s="1" t="s">
        <v>80</v>
      </c>
      <c r="F391" s="1" t="s">
        <v>88</v>
      </c>
      <c r="G391" s="1" t="s">
        <v>68</v>
      </c>
      <c r="H391" s="2" t="s">
        <v>89</v>
      </c>
      <c r="I391" s="1" t="s">
        <v>0</v>
      </c>
      <c r="J391" s="1" t="s">
        <v>9</v>
      </c>
      <c r="K391" s="1">
        <v>5</v>
      </c>
      <c r="L391" s="1">
        <v>714</v>
      </c>
      <c r="M391" s="28">
        <v>25730.89</v>
      </c>
      <c r="N391" s="39">
        <f>Data[[#This Row],[Gross Wages]]/Data[[#This Row],[No. of Hours Worked]]</f>
        <v>36.03766106442577</v>
      </c>
      <c r="P391" s="33"/>
    </row>
    <row r="392" spans="1:16" x14ac:dyDescent="0.3">
      <c r="A392" s="3" t="s">
        <v>44</v>
      </c>
      <c r="B392" s="1">
        <v>2025</v>
      </c>
      <c r="C392" s="10">
        <v>45658</v>
      </c>
      <c r="D392" s="2" t="s">
        <v>86</v>
      </c>
      <c r="E392" s="1" t="s">
        <v>66</v>
      </c>
      <c r="F392" s="1" t="s">
        <v>75</v>
      </c>
      <c r="G392" s="1" t="s">
        <v>68</v>
      </c>
      <c r="H392" s="2" t="s">
        <v>76</v>
      </c>
      <c r="I392" s="1" t="s">
        <v>0</v>
      </c>
      <c r="J392" s="1" t="s">
        <v>9</v>
      </c>
      <c r="K392" s="1">
        <v>1</v>
      </c>
      <c r="L392" s="1">
        <v>8</v>
      </c>
      <c r="M392" s="28">
        <v>433.44</v>
      </c>
      <c r="N392" s="39">
        <f>Data[[#This Row],[Gross Wages]]/Data[[#This Row],[No. of Hours Worked]]</f>
        <v>54.18</v>
      </c>
      <c r="P392" s="33"/>
    </row>
    <row r="393" spans="1:16" x14ac:dyDescent="0.3">
      <c r="A393" s="3" t="s">
        <v>44</v>
      </c>
      <c r="B393" s="1">
        <v>2025</v>
      </c>
      <c r="C393" s="10">
        <v>45658</v>
      </c>
      <c r="D393" s="2" t="s">
        <v>86</v>
      </c>
      <c r="E393" s="1" t="s">
        <v>66</v>
      </c>
      <c r="F393" s="1" t="s">
        <v>72</v>
      </c>
      <c r="G393" s="1" t="s">
        <v>73</v>
      </c>
      <c r="H393" s="2" t="s">
        <v>74</v>
      </c>
      <c r="I393" s="1" t="s">
        <v>0</v>
      </c>
      <c r="J393" s="1" t="s">
        <v>9</v>
      </c>
      <c r="K393" s="1">
        <v>1</v>
      </c>
      <c r="L393" s="1">
        <v>40</v>
      </c>
      <c r="M393" s="28">
        <v>1100</v>
      </c>
      <c r="N393" s="39">
        <f>Data[[#This Row],[Gross Wages]]/Data[[#This Row],[No. of Hours Worked]]</f>
        <v>27.5</v>
      </c>
      <c r="P393" s="33"/>
    </row>
    <row r="394" spans="1:16" x14ac:dyDescent="0.3">
      <c r="A394" s="3" t="s">
        <v>44</v>
      </c>
      <c r="B394" s="1">
        <v>2025</v>
      </c>
      <c r="C394" s="10">
        <v>45658</v>
      </c>
      <c r="D394" s="2" t="s">
        <v>86</v>
      </c>
      <c r="E394" s="1" t="s">
        <v>66</v>
      </c>
      <c r="F394" s="1" t="s">
        <v>97</v>
      </c>
      <c r="G394" s="1" t="s">
        <v>68</v>
      </c>
      <c r="H394" s="2" t="s">
        <v>98</v>
      </c>
      <c r="I394" s="1" t="s">
        <v>0</v>
      </c>
      <c r="J394" s="1" t="s">
        <v>9</v>
      </c>
      <c r="K394" s="1">
        <v>1</v>
      </c>
      <c r="L394" s="1">
        <v>40</v>
      </c>
      <c r="M394" s="28">
        <v>1730</v>
      </c>
      <c r="N394" s="39">
        <f>Data[[#This Row],[Gross Wages]]/Data[[#This Row],[No. of Hours Worked]]</f>
        <v>43.25</v>
      </c>
      <c r="P394" s="33"/>
    </row>
    <row r="395" spans="1:16" x14ac:dyDescent="0.3">
      <c r="A395" s="3" t="s">
        <v>44</v>
      </c>
      <c r="B395" s="1">
        <v>2025</v>
      </c>
      <c r="C395" s="10">
        <v>45658</v>
      </c>
      <c r="D395" s="2" t="s">
        <v>86</v>
      </c>
      <c r="E395" s="1" t="s">
        <v>66</v>
      </c>
      <c r="F395" s="1" t="s">
        <v>95</v>
      </c>
      <c r="G395" s="1" t="s">
        <v>68</v>
      </c>
      <c r="H395" s="2" t="s">
        <v>96</v>
      </c>
      <c r="I395" s="1" t="s">
        <v>0</v>
      </c>
      <c r="J395" s="1" t="s">
        <v>9</v>
      </c>
      <c r="K395" s="1">
        <v>1</v>
      </c>
      <c r="L395" s="1">
        <v>48</v>
      </c>
      <c r="M395" s="28">
        <v>2352</v>
      </c>
      <c r="N395" s="39">
        <f>Data[[#This Row],[Gross Wages]]/Data[[#This Row],[No. of Hours Worked]]</f>
        <v>49</v>
      </c>
      <c r="P395" s="33"/>
    </row>
    <row r="396" spans="1:16" x14ac:dyDescent="0.3">
      <c r="A396" s="3" t="s">
        <v>45</v>
      </c>
      <c r="B396" s="1">
        <v>2025</v>
      </c>
      <c r="C396" s="10">
        <v>45658</v>
      </c>
      <c r="D396" s="2" t="s">
        <v>86</v>
      </c>
      <c r="E396" s="1" t="s">
        <v>66</v>
      </c>
      <c r="F396" s="1" t="s">
        <v>67</v>
      </c>
      <c r="G396" s="1" t="s">
        <v>68</v>
      </c>
      <c r="H396" s="2" t="s">
        <v>69</v>
      </c>
      <c r="I396" s="1" t="s">
        <v>2</v>
      </c>
      <c r="J396" s="1" t="s">
        <v>10</v>
      </c>
      <c r="K396" s="1">
        <v>1</v>
      </c>
      <c r="L396" s="1">
        <v>192</v>
      </c>
      <c r="M396" s="28">
        <v>8661.1200000000008</v>
      </c>
      <c r="N396" s="39">
        <f>Data[[#This Row],[Gross Wages]]/Data[[#This Row],[No. of Hours Worked]]</f>
        <v>45.110000000000007</v>
      </c>
      <c r="P396" s="33"/>
    </row>
    <row r="397" spans="1:16" x14ac:dyDescent="0.3">
      <c r="A397" s="3" t="s">
        <v>45</v>
      </c>
      <c r="B397" s="1">
        <v>2025</v>
      </c>
      <c r="C397" s="10">
        <v>45658</v>
      </c>
      <c r="D397" s="2" t="s">
        <v>86</v>
      </c>
      <c r="E397" s="1" t="s">
        <v>66</v>
      </c>
      <c r="F397" s="1" t="s">
        <v>67</v>
      </c>
      <c r="G397" s="1" t="s">
        <v>68</v>
      </c>
      <c r="H397" s="2" t="s">
        <v>69</v>
      </c>
      <c r="I397" s="1" t="s">
        <v>0</v>
      </c>
      <c r="J397" s="1" t="s">
        <v>9</v>
      </c>
      <c r="K397" s="1">
        <v>6</v>
      </c>
      <c r="L397" s="30">
        <v>1156</v>
      </c>
      <c r="M397" s="28">
        <v>56876.82</v>
      </c>
      <c r="N397" s="39">
        <f>Data[[#This Row],[Gross Wages]]/Data[[#This Row],[No. of Hours Worked]]</f>
        <v>49.201401384083042</v>
      </c>
      <c r="P397" s="33"/>
    </row>
    <row r="398" spans="1:16" x14ac:dyDescent="0.3">
      <c r="A398" s="3" t="s">
        <v>124</v>
      </c>
      <c r="B398" s="1">
        <v>2025</v>
      </c>
      <c r="C398" s="10">
        <v>45658</v>
      </c>
      <c r="D398" s="34" t="s">
        <v>86</v>
      </c>
      <c r="E398" s="1" t="s">
        <v>66</v>
      </c>
      <c r="F398" s="1" t="s">
        <v>125</v>
      </c>
      <c r="G398" s="1" t="s">
        <v>68</v>
      </c>
      <c r="H398" s="2" t="s">
        <v>126</v>
      </c>
      <c r="I398" s="1" t="s">
        <v>0</v>
      </c>
      <c r="J398" s="1" t="s">
        <v>9</v>
      </c>
      <c r="K398" s="1">
        <v>2</v>
      </c>
      <c r="L398" s="1">
        <v>17</v>
      </c>
      <c r="M398" s="28">
        <v>919.18</v>
      </c>
      <c r="N398" s="39">
        <f>Data[[#This Row],[Gross Wages]]/Data[[#This Row],[No. of Hours Worked]]</f>
        <v>54.069411764705876</v>
      </c>
      <c r="P398" s="33"/>
    </row>
    <row r="399" spans="1:16" x14ac:dyDescent="0.3">
      <c r="A399" s="3" t="s">
        <v>124</v>
      </c>
      <c r="B399" s="1">
        <v>2025</v>
      </c>
      <c r="C399" s="10">
        <v>45658</v>
      </c>
      <c r="D399" s="34" t="s">
        <v>86</v>
      </c>
      <c r="E399" s="1" t="s">
        <v>66</v>
      </c>
      <c r="F399" s="1" t="s">
        <v>72</v>
      </c>
      <c r="G399" s="1" t="s">
        <v>73</v>
      </c>
      <c r="H399" s="2" t="s">
        <v>74</v>
      </c>
      <c r="I399" s="1" t="s">
        <v>0</v>
      </c>
      <c r="J399" s="1" t="s">
        <v>9</v>
      </c>
      <c r="K399" s="1">
        <v>3</v>
      </c>
      <c r="L399" s="1">
        <v>75</v>
      </c>
      <c r="M399" s="28">
        <v>3948</v>
      </c>
      <c r="N399" s="39">
        <f>Data[[#This Row],[Gross Wages]]/Data[[#This Row],[No. of Hours Worked]]</f>
        <v>52.64</v>
      </c>
      <c r="P399" s="33"/>
    </row>
    <row r="400" spans="1:16" x14ac:dyDescent="0.3">
      <c r="A400" s="3" t="s">
        <v>102</v>
      </c>
      <c r="B400" s="1">
        <v>2025</v>
      </c>
      <c r="C400" s="10">
        <v>45658</v>
      </c>
      <c r="D400" s="2" t="s">
        <v>86</v>
      </c>
      <c r="E400" s="18" t="s">
        <v>66</v>
      </c>
      <c r="F400" s="18" t="s">
        <v>84</v>
      </c>
      <c r="G400" s="19" t="s">
        <v>68</v>
      </c>
      <c r="H400" s="23" t="s">
        <v>85</v>
      </c>
      <c r="I400" s="71" t="s">
        <v>0</v>
      </c>
      <c r="J400" s="71" t="s">
        <v>9</v>
      </c>
      <c r="K400" s="71">
        <v>1</v>
      </c>
      <c r="L400" s="71">
        <v>140</v>
      </c>
      <c r="M400" s="25">
        <v>5880</v>
      </c>
      <c r="N400" s="39">
        <f>Data[[#This Row],[Gross Wages]]/Data[[#This Row],[No. of Hours Worked]]</f>
        <v>42</v>
      </c>
      <c r="P400" s="33"/>
    </row>
    <row r="401" spans="1:16" x14ac:dyDescent="0.3">
      <c r="A401" s="3" t="s">
        <v>46</v>
      </c>
      <c r="B401" s="1">
        <v>2025</v>
      </c>
      <c r="C401" s="10">
        <v>45658</v>
      </c>
      <c r="D401" s="2" t="s">
        <v>86</v>
      </c>
      <c r="E401" s="18" t="s">
        <v>66</v>
      </c>
      <c r="F401" s="18" t="s">
        <v>70</v>
      </c>
      <c r="G401" s="19" t="s">
        <v>68</v>
      </c>
      <c r="H401" s="23" t="s">
        <v>71</v>
      </c>
      <c r="I401" s="1" t="s">
        <v>1</v>
      </c>
      <c r="J401" s="71" t="s">
        <v>9</v>
      </c>
      <c r="K401" s="71">
        <v>1</v>
      </c>
      <c r="L401" s="71">
        <v>160</v>
      </c>
      <c r="M401" s="25">
        <v>8636.7999999999993</v>
      </c>
      <c r="N401" s="39">
        <f>Data[[#This Row],[Gross Wages]]/Data[[#This Row],[No. of Hours Worked]]</f>
        <v>53.98</v>
      </c>
      <c r="P401" s="33"/>
    </row>
    <row r="402" spans="1:16" x14ac:dyDescent="0.3">
      <c r="A402" s="3" t="s">
        <v>140</v>
      </c>
      <c r="B402" s="1">
        <v>2025</v>
      </c>
      <c r="C402" s="10">
        <v>45658</v>
      </c>
      <c r="D402" s="34" t="s">
        <v>86</v>
      </c>
      <c r="E402" s="1" t="s">
        <v>66</v>
      </c>
      <c r="F402" s="1" t="s">
        <v>72</v>
      </c>
      <c r="G402" s="1" t="s">
        <v>73</v>
      </c>
      <c r="H402" s="2" t="s">
        <v>74</v>
      </c>
      <c r="I402" s="1" t="s">
        <v>0</v>
      </c>
      <c r="J402" s="1" t="s">
        <v>9</v>
      </c>
      <c r="K402" s="1">
        <v>2</v>
      </c>
      <c r="L402" s="1">
        <v>16</v>
      </c>
      <c r="M402" s="28">
        <v>424</v>
      </c>
      <c r="N402" s="39">
        <f>Data[[#This Row],[Gross Wages]]/Data[[#This Row],[No. of Hours Worked]]</f>
        <v>26.5</v>
      </c>
      <c r="P402" s="33"/>
    </row>
    <row r="403" spans="1:16" x14ac:dyDescent="0.3">
      <c r="A403" s="3" t="s">
        <v>140</v>
      </c>
      <c r="B403" s="1">
        <v>2025</v>
      </c>
      <c r="C403" s="10">
        <v>45658</v>
      </c>
      <c r="D403" s="34" t="s">
        <v>86</v>
      </c>
      <c r="E403" s="1" t="s">
        <v>66</v>
      </c>
      <c r="F403" s="1" t="s">
        <v>141</v>
      </c>
      <c r="G403" s="1" t="s">
        <v>68</v>
      </c>
      <c r="H403" s="2" t="s">
        <v>142</v>
      </c>
      <c r="I403" s="1" t="s">
        <v>0</v>
      </c>
      <c r="J403" s="1" t="s">
        <v>9</v>
      </c>
      <c r="K403" s="1">
        <v>1</v>
      </c>
      <c r="L403" s="1">
        <v>32</v>
      </c>
      <c r="M403" s="28">
        <v>988.16</v>
      </c>
      <c r="N403" s="39">
        <f>Data[[#This Row],[Gross Wages]]/Data[[#This Row],[No. of Hours Worked]]</f>
        <v>30.88</v>
      </c>
      <c r="P403" s="33"/>
    </row>
    <row r="404" spans="1:16" x14ac:dyDescent="0.3">
      <c r="A404" s="3" t="s">
        <v>106</v>
      </c>
      <c r="B404" s="1">
        <v>2025</v>
      </c>
      <c r="C404" s="10">
        <v>45658</v>
      </c>
      <c r="D404" s="2" t="s">
        <v>86</v>
      </c>
      <c r="E404" s="18" t="s">
        <v>66</v>
      </c>
      <c r="F404" s="18" t="s">
        <v>104</v>
      </c>
      <c r="G404" s="19" t="s">
        <v>68</v>
      </c>
      <c r="H404" s="23" t="s">
        <v>105</v>
      </c>
      <c r="I404" s="71" t="s">
        <v>0</v>
      </c>
      <c r="J404" s="71" t="s">
        <v>9</v>
      </c>
      <c r="K404" s="71">
        <v>1</v>
      </c>
      <c r="L404" s="71">
        <v>20</v>
      </c>
      <c r="M404" s="114">
        <v>425.8</v>
      </c>
      <c r="N404" s="39">
        <f>Data[[#This Row],[Gross Wages]]/Data[[#This Row],[No. of Hours Worked]]</f>
        <v>21.29</v>
      </c>
      <c r="P404" s="33"/>
    </row>
    <row r="405" spans="1:16" x14ac:dyDescent="0.3">
      <c r="A405" s="3" t="s">
        <v>106</v>
      </c>
      <c r="B405" s="1">
        <v>2025</v>
      </c>
      <c r="C405" s="10">
        <v>45658</v>
      </c>
      <c r="D405" s="2" t="s">
        <v>86</v>
      </c>
      <c r="E405" s="18" t="s">
        <v>66</v>
      </c>
      <c r="F405" s="18" t="s">
        <v>90</v>
      </c>
      <c r="G405" s="19" t="s">
        <v>68</v>
      </c>
      <c r="H405" s="23" t="s">
        <v>99</v>
      </c>
      <c r="I405" s="71" t="s">
        <v>0</v>
      </c>
      <c r="J405" s="71" t="s">
        <v>9</v>
      </c>
      <c r="K405" s="71">
        <v>1</v>
      </c>
      <c r="L405" s="71">
        <v>20</v>
      </c>
      <c r="M405" s="114">
        <v>694.6</v>
      </c>
      <c r="N405" s="39">
        <f>Data[[#This Row],[Gross Wages]]/Data[[#This Row],[No. of Hours Worked]]</f>
        <v>34.730000000000004</v>
      </c>
      <c r="P405" s="33"/>
    </row>
    <row r="406" spans="1:16" x14ac:dyDescent="0.3">
      <c r="A406" s="3" t="s">
        <v>106</v>
      </c>
      <c r="B406" s="1">
        <v>2025</v>
      </c>
      <c r="C406" s="10">
        <v>45658</v>
      </c>
      <c r="D406" s="2" t="s">
        <v>86</v>
      </c>
      <c r="E406" s="18" t="s">
        <v>80</v>
      </c>
      <c r="F406" s="18" t="s">
        <v>121</v>
      </c>
      <c r="G406" s="19" t="s">
        <v>73</v>
      </c>
      <c r="H406" s="23" t="s">
        <v>122</v>
      </c>
      <c r="I406" s="71" t="s">
        <v>0</v>
      </c>
      <c r="J406" s="71" t="s">
        <v>9</v>
      </c>
      <c r="K406" s="71">
        <v>2</v>
      </c>
      <c r="L406" s="71">
        <v>64</v>
      </c>
      <c r="M406" s="29">
        <v>2390.4</v>
      </c>
      <c r="N406" s="39">
        <f>Data[[#This Row],[Gross Wages]]/Data[[#This Row],[No. of Hours Worked]]</f>
        <v>37.35</v>
      </c>
      <c r="P406" s="33"/>
    </row>
    <row r="407" spans="1:16" x14ac:dyDescent="0.3">
      <c r="A407" s="3" t="s">
        <v>106</v>
      </c>
      <c r="B407" s="1">
        <v>2025</v>
      </c>
      <c r="C407" s="10">
        <v>45658</v>
      </c>
      <c r="D407" s="2" t="s">
        <v>86</v>
      </c>
      <c r="E407" s="18" t="s">
        <v>66</v>
      </c>
      <c r="F407" s="18" t="s">
        <v>90</v>
      </c>
      <c r="G407" s="19" t="s">
        <v>68</v>
      </c>
      <c r="H407" s="23" t="s">
        <v>99</v>
      </c>
      <c r="I407" s="71" t="s">
        <v>0</v>
      </c>
      <c r="J407" s="71" t="s">
        <v>9</v>
      </c>
      <c r="K407" s="71">
        <v>3</v>
      </c>
      <c r="L407" s="71">
        <v>72</v>
      </c>
      <c r="M407" s="29">
        <v>3168.48</v>
      </c>
      <c r="N407" s="39">
        <f>Data[[#This Row],[Gross Wages]]/Data[[#This Row],[No. of Hours Worked]]</f>
        <v>44.006666666666668</v>
      </c>
      <c r="P407" s="33"/>
    </row>
    <row r="408" spans="1:16" x14ac:dyDescent="0.3">
      <c r="A408" s="3" t="s">
        <v>112</v>
      </c>
      <c r="B408" s="1">
        <v>2025</v>
      </c>
      <c r="C408" s="10">
        <v>45658</v>
      </c>
      <c r="D408" s="2" t="s">
        <v>86</v>
      </c>
      <c r="E408" s="18" t="s">
        <v>66</v>
      </c>
      <c r="F408" s="18" t="s">
        <v>109</v>
      </c>
      <c r="G408" s="19" t="s">
        <v>68</v>
      </c>
      <c r="H408" s="23" t="s">
        <v>110</v>
      </c>
      <c r="I408" s="71" t="s">
        <v>0</v>
      </c>
      <c r="J408" s="71" t="s">
        <v>9</v>
      </c>
      <c r="K408" s="71">
        <v>1</v>
      </c>
      <c r="L408" s="71">
        <v>16</v>
      </c>
      <c r="M408" s="40">
        <v>453.6</v>
      </c>
      <c r="N408" s="39">
        <f>Data[[#This Row],[Gross Wages]]/Data[[#This Row],[No. of Hours Worked]]</f>
        <v>28.35</v>
      </c>
      <c r="P408" s="33"/>
    </row>
    <row r="409" spans="1:16" x14ac:dyDescent="0.3">
      <c r="A409" s="3" t="s">
        <v>112</v>
      </c>
      <c r="B409" s="1">
        <v>2025</v>
      </c>
      <c r="C409" s="10">
        <v>45658</v>
      </c>
      <c r="D409" s="2" t="s">
        <v>86</v>
      </c>
      <c r="E409" s="18" t="s">
        <v>66</v>
      </c>
      <c r="F409" s="18" t="s">
        <v>109</v>
      </c>
      <c r="G409" s="19" t="s">
        <v>68</v>
      </c>
      <c r="H409" s="23" t="s">
        <v>110</v>
      </c>
      <c r="I409" s="71" t="s">
        <v>111</v>
      </c>
      <c r="J409" s="71" t="s">
        <v>9</v>
      </c>
      <c r="K409" s="71">
        <v>2</v>
      </c>
      <c r="L409" s="71">
        <v>16</v>
      </c>
      <c r="M409" s="40">
        <v>459.44</v>
      </c>
      <c r="N409" s="39">
        <f>Data[[#This Row],[Gross Wages]]/Data[[#This Row],[No. of Hours Worked]]</f>
        <v>28.715</v>
      </c>
      <c r="P409" s="33"/>
    </row>
    <row r="410" spans="1:16" x14ac:dyDescent="0.3">
      <c r="A410" s="3" t="s">
        <v>48</v>
      </c>
      <c r="B410" s="1">
        <v>2025</v>
      </c>
      <c r="C410" s="10">
        <v>45658</v>
      </c>
      <c r="D410" s="2" t="s">
        <v>86</v>
      </c>
      <c r="E410" s="1" t="s">
        <v>66</v>
      </c>
      <c r="F410" s="1" t="s">
        <v>84</v>
      </c>
      <c r="G410" s="1" t="s">
        <v>68</v>
      </c>
      <c r="H410" s="2" t="s">
        <v>85</v>
      </c>
      <c r="I410" s="1" t="s">
        <v>0</v>
      </c>
      <c r="J410" s="1" t="s">
        <v>9</v>
      </c>
      <c r="K410" s="1">
        <v>10</v>
      </c>
      <c r="L410" s="1">
        <v>937</v>
      </c>
      <c r="M410" s="28">
        <v>37048.199999999997</v>
      </c>
      <c r="N410" s="39">
        <f>Data[[#This Row],[Gross Wages]]/Data[[#This Row],[No. of Hours Worked]]</f>
        <v>39.539167556029881</v>
      </c>
      <c r="P410" s="33"/>
    </row>
    <row r="411" spans="1:16" x14ac:dyDescent="0.3">
      <c r="A411" s="3" t="s">
        <v>49</v>
      </c>
      <c r="B411" s="1">
        <v>2025</v>
      </c>
      <c r="C411" s="10">
        <v>45658</v>
      </c>
      <c r="D411" s="2" t="s">
        <v>86</v>
      </c>
      <c r="E411" s="1" t="s">
        <v>66</v>
      </c>
      <c r="F411" s="1" t="s">
        <v>67</v>
      </c>
      <c r="G411" s="1" t="s">
        <v>68</v>
      </c>
      <c r="H411" s="2" t="s">
        <v>69</v>
      </c>
      <c r="I411" s="1" t="s">
        <v>0</v>
      </c>
      <c r="J411" s="1" t="s">
        <v>9</v>
      </c>
      <c r="K411" s="1">
        <v>8</v>
      </c>
      <c r="L411" s="1">
        <v>1002.5</v>
      </c>
      <c r="M411" s="28">
        <v>72340.399999999994</v>
      </c>
      <c r="N411" s="39">
        <f>Data[[#This Row],[Gross Wages]]/Data[[#This Row],[No. of Hours Worked]]</f>
        <v>72.16</v>
      </c>
      <c r="P411" s="33"/>
    </row>
    <row r="412" spans="1:16" x14ac:dyDescent="0.3">
      <c r="A412" s="3" t="s">
        <v>50</v>
      </c>
      <c r="B412" s="1">
        <v>2025</v>
      </c>
      <c r="C412" s="10">
        <v>45658</v>
      </c>
      <c r="D412" s="2" t="s">
        <v>86</v>
      </c>
      <c r="E412" s="18" t="s">
        <v>66</v>
      </c>
      <c r="F412" s="18" t="s">
        <v>100</v>
      </c>
      <c r="G412" s="19" t="s">
        <v>68</v>
      </c>
      <c r="H412" s="23" t="s">
        <v>101</v>
      </c>
      <c r="I412" s="1" t="s">
        <v>3</v>
      </c>
      <c r="J412" s="71" t="s">
        <v>9</v>
      </c>
      <c r="K412" s="71">
        <v>1</v>
      </c>
      <c r="L412" s="71">
        <v>62</v>
      </c>
      <c r="M412" s="25">
        <v>2157.0100000000002</v>
      </c>
      <c r="N412" s="39">
        <f>Data[[#This Row],[Gross Wages]]/Data[[#This Row],[No. of Hours Worked]]</f>
        <v>34.790483870967748</v>
      </c>
      <c r="P412" s="33"/>
    </row>
    <row r="413" spans="1:16" x14ac:dyDescent="0.3">
      <c r="A413" s="3" t="s">
        <v>50</v>
      </c>
      <c r="B413" s="1">
        <v>2025</v>
      </c>
      <c r="C413" s="10">
        <v>45658</v>
      </c>
      <c r="D413" s="2" t="s">
        <v>86</v>
      </c>
      <c r="E413" s="18" t="s">
        <v>66</v>
      </c>
      <c r="F413" s="18" t="s">
        <v>100</v>
      </c>
      <c r="G413" s="19" t="s">
        <v>68</v>
      </c>
      <c r="H413" s="23" t="s">
        <v>101</v>
      </c>
      <c r="I413" s="71" t="s">
        <v>0</v>
      </c>
      <c r="J413" s="71" t="s">
        <v>9</v>
      </c>
      <c r="K413" s="71">
        <v>10</v>
      </c>
      <c r="L413" s="71">
        <v>679.96</v>
      </c>
      <c r="M413" s="25">
        <v>23680.23</v>
      </c>
      <c r="N413" s="39">
        <f>Data[[#This Row],[Gross Wages]]/Data[[#This Row],[No. of Hours Worked]]</f>
        <v>34.825916230366488</v>
      </c>
      <c r="P413" s="33"/>
    </row>
    <row r="414" spans="1:16" x14ac:dyDescent="0.3">
      <c r="A414" s="3" t="s">
        <v>52</v>
      </c>
      <c r="B414" s="1">
        <v>2025</v>
      </c>
      <c r="C414" s="10">
        <v>45658</v>
      </c>
      <c r="D414" s="2" t="s">
        <v>86</v>
      </c>
      <c r="E414" s="1" t="s">
        <v>66</v>
      </c>
      <c r="F414" s="1" t="s">
        <v>90</v>
      </c>
      <c r="G414" s="1" t="s">
        <v>68</v>
      </c>
      <c r="H414" s="2" t="s">
        <v>99</v>
      </c>
      <c r="I414" s="1" t="s">
        <v>0</v>
      </c>
      <c r="J414" s="1" t="s">
        <v>9</v>
      </c>
      <c r="K414" s="1">
        <v>5</v>
      </c>
      <c r="L414" s="1">
        <v>227</v>
      </c>
      <c r="M414" s="28">
        <v>14394.37</v>
      </c>
      <c r="N414" s="39">
        <f>Data[[#This Row],[Gross Wages]]/Data[[#This Row],[No. of Hours Worked]]</f>
        <v>63.411321585903089</v>
      </c>
      <c r="P414" s="33"/>
    </row>
    <row r="415" spans="1:16" x14ac:dyDescent="0.3">
      <c r="A415" s="3" t="s">
        <v>123</v>
      </c>
      <c r="B415" s="1">
        <v>2025</v>
      </c>
      <c r="C415" s="10">
        <v>45658</v>
      </c>
      <c r="D415" s="34" t="s">
        <v>86</v>
      </c>
      <c r="E415" s="1" t="s">
        <v>66</v>
      </c>
      <c r="F415" s="1" t="s">
        <v>67</v>
      </c>
      <c r="G415" s="1" t="s">
        <v>68</v>
      </c>
      <c r="H415" s="2" t="s">
        <v>69</v>
      </c>
      <c r="I415" s="1" t="s">
        <v>0</v>
      </c>
      <c r="J415" s="1" t="s">
        <v>9</v>
      </c>
      <c r="K415" s="1">
        <v>2</v>
      </c>
      <c r="L415" s="1">
        <v>208</v>
      </c>
      <c r="M415" s="28">
        <v>7226.96</v>
      </c>
      <c r="N415" s="39">
        <f>Data[[#This Row],[Gross Wages]]/Data[[#This Row],[No. of Hours Worked]]</f>
        <v>34.744999999999997</v>
      </c>
      <c r="P415" s="33"/>
    </row>
    <row r="416" spans="1:16" x14ac:dyDescent="0.3">
      <c r="A416" s="3" t="s">
        <v>144</v>
      </c>
      <c r="B416" s="1">
        <v>2025</v>
      </c>
      <c r="C416" s="10">
        <v>45658</v>
      </c>
      <c r="D416" s="34" t="s">
        <v>86</v>
      </c>
      <c r="E416" s="1" t="s">
        <v>66</v>
      </c>
      <c r="F416" s="1" t="s">
        <v>95</v>
      </c>
      <c r="G416" s="1" t="s">
        <v>68</v>
      </c>
      <c r="H416" s="2" t="s">
        <v>96</v>
      </c>
      <c r="I416" s="1" t="s">
        <v>0</v>
      </c>
      <c r="J416" s="1" t="s">
        <v>9</v>
      </c>
      <c r="K416" s="1">
        <v>3</v>
      </c>
      <c r="L416" s="1">
        <v>80</v>
      </c>
      <c r="M416" s="28">
        <v>4441.54</v>
      </c>
      <c r="N416" s="39">
        <f>Data[[#This Row],[Gross Wages]]/Data[[#This Row],[No. of Hours Worked]]</f>
        <v>55.51925</v>
      </c>
      <c r="P416" s="33"/>
    </row>
    <row r="417" spans="1:16" x14ac:dyDescent="0.3">
      <c r="A417" s="3" t="s">
        <v>144</v>
      </c>
      <c r="B417" s="1">
        <v>2025</v>
      </c>
      <c r="C417" s="10">
        <v>45658</v>
      </c>
      <c r="D417" s="34" t="s">
        <v>86</v>
      </c>
      <c r="E417" s="1" t="s">
        <v>66</v>
      </c>
      <c r="F417" s="1" t="s">
        <v>145</v>
      </c>
      <c r="G417" s="1" t="s">
        <v>68</v>
      </c>
      <c r="H417" s="2" t="s">
        <v>146</v>
      </c>
      <c r="I417" s="1" t="s">
        <v>0</v>
      </c>
      <c r="J417" s="1" t="s">
        <v>9</v>
      </c>
      <c r="K417" s="1">
        <v>2</v>
      </c>
      <c r="L417" s="1">
        <v>82.5</v>
      </c>
      <c r="M417" s="28">
        <v>4065.63</v>
      </c>
      <c r="N417" s="39">
        <f>Data[[#This Row],[Gross Wages]]/Data[[#This Row],[No. of Hours Worked]]</f>
        <v>49.280363636363639</v>
      </c>
      <c r="P417" s="33"/>
    </row>
    <row r="418" spans="1:16" x14ac:dyDescent="0.3">
      <c r="A418" s="3" t="s">
        <v>144</v>
      </c>
      <c r="B418" s="1">
        <v>2025</v>
      </c>
      <c r="C418" s="10">
        <v>45658</v>
      </c>
      <c r="D418" s="34" t="s">
        <v>86</v>
      </c>
      <c r="E418" s="1" t="s">
        <v>66</v>
      </c>
      <c r="F418" s="1" t="s">
        <v>95</v>
      </c>
      <c r="G418" s="1" t="s">
        <v>68</v>
      </c>
      <c r="H418" s="2" t="s">
        <v>96</v>
      </c>
      <c r="I418" s="1" t="s">
        <v>3</v>
      </c>
      <c r="J418" s="1" t="s">
        <v>9</v>
      </c>
      <c r="K418" s="1">
        <v>1</v>
      </c>
      <c r="L418" s="1">
        <v>16</v>
      </c>
      <c r="M418" s="28">
        <v>1600</v>
      </c>
      <c r="N418" s="39">
        <f>Data[[#This Row],[Gross Wages]]/Data[[#This Row],[No. of Hours Worked]]</f>
        <v>100</v>
      </c>
      <c r="P418" s="33"/>
    </row>
    <row r="419" spans="1:16" x14ac:dyDescent="0.3">
      <c r="A419" s="3" t="s">
        <v>144</v>
      </c>
      <c r="B419" s="1">
        <v>2025</v>
      </c>
      <c r="C419" s="10">
        <v>45658</v>
      </c>
      <c r="D419" s="34" t="s">
        <v>86</v>
      </c>
      <c r="E419" s="1" t="s">
        <v>66</v>
      </c>
      <c r="F419" s="1" t="s">
        <v>145</v>
      </c>
      <c r="G419" s="1" t="s">
        <v>68</v>
      </c>
      <c r="H419" s="2" t="s">
        <v>146</v>
      </c>
      <c r="I419" s="1" t="s">
        <v>111</v>
      </c>
      <c r="J419" s="1" t="s">
        <v>9</v>
      </c>
      <c r="K419" s="1">
        <v>1</v>
      </c>
      <c r="L419" s="1">
        <v>40</v>
      </c>
      <c r="M419" s="28">
        <v>1543.25</v>
      </c>
      <c r="N419" s="39">
        <f>Data[[#This Row],[Gross Wages]]/Data[[#This Row],[No. of Hours Worked]]</f>
        <v>38.581249999999997</v>
      </c>
      <c r="P419" s="33"/>
    </row>
    <row r="420" spans="1:16" x14ac:dyDescent="0.3">
      <c r="A420" s="3" t="s">
        <v>132</v>
      </c>
      <c r="B420" s="1">
        <v>2025</v>
      </c>
      <c r="C420" s="10">
        <v>45658</v>
      </c>
      <c r="D420" s="34" t="s">
        <v>86</v>
      </c>
      <c r="E420" s="1" t="s">
        <v>66</v>
      </c>
      <c r="F420" s="1" t="s">
        <v>133</v>
      </c>
      <c r="G420" s="1" t="s">
        <v>68</v>
      </c>
      <c r="H420" s="2" t="s">
        <v>134</v>
      </c>
      <c r="I420" s="1" t="s">
        <v>0</v>
      </c>
      <c r="J420" s="1" t="s">
        <v>9</v>
      </c>
      <c r="K420" s="1">
        <v>3</v>
      </c>
      <c r="L420" s="1">
        <v>25</v>
      </c>
      <c r="M420" s="28">
        <v>1020.11</v>
      </c>
      <c r="N420" s="39">
        <f>Data[[#This Row],[Gross Wages]]/Data[[#This Row],[No. of Hours Worked]]</f>
        <v>40.804400000000001</v>
      </c>
      <c r="P420" s="33"/>
    </row>
    <row r="421" spans="1:16" x14ac:dyDescent="0.3">
      <c r="A421" s="3" t="s">
        <v>132</v>
      </c>
      <c r="B421" s="1">
        <v>2025</v>
      </c>
      <c r="C421" s="10">
        <v>45658</v>
      </c>
      <c r="D421" s="34" t="s">
        <v>86</v>
      </c>
      <c r="E421" s="1" t="s">
        <v>66</v>
      </c>
      <c r="F421" s="1" t="s">
        <v>125</v>
      </c>
      <c r="G421" s="1" t="s">
        <v>68</v>
      </c>
      <c r="H421" s="2" t="s">
        <v>126</v>
      </c>
      <c r="I421" s="1" t="s">
        <v>2</v>
      </c>
      <c r="J421" s="1" t="s">
        <v>9</v>
      </c>
      <c r="K421" s="1">
        <v>3</v>
      </c>
      <c r="L421" s="1">
        <v>122.5</v>
      </c>
      <c r="M421" s="28">
        <v>3225.28</v>
      </c>
      <c r="N421" s="39">
        <f>Data[[#This Row],[Gross Wages]]/Data[[#This Row],[No. of Hours Worked]]</f>
        <v>26.328816326530614</v>
      </c>
      <c r="P421" s="33"/>
    </row>
    <row r="422" spans="1:16" x14ac:dyDescent="0.3">
      <c r="A422" s="3" t="s">
        <v>132</v>
      </c>
      <c r="B422" s="1">
        <v>2025</v>
      </c>
      <c r="C422" s="10">
        <v>45658</v>
      </c>
      <c r="D422" s="34" t="s">
        <v>86</v>
      </c>
      <c r="E422" s="1" t="s">
        <v>66</v>
      </c>
      <c r="F422" s="1" t="s">
        <v>125</v>
      </c>
      <c r="G422" s="1" t="s">
        <v>68</v>
      </c>
      <c r="H422" s="2" t="s">
        <v>126</v>
      </c>
      <c r="I422" s="1" t="s">
        <v>0</v>
      </c>
      <c r="J422" s="1" t="s">
        <v>9</v>
      </c>
      <c r="K422" s="1">
        <v>11</v>
      </c>
      <c r="L422" s="1">
        <v>400</v>
      </c>
      <c r="M422" s="28">
        <v>12489.76</v>
      </c>
      <c r="N422" s="39">
        <f>Data[[#This Row],[Gross Wages]]/Data[[#This Row],[No. of Hours Worked]]</f>
        <v>31.224399999999999</v>
      </c>
      <c r="P422" s="33"/>
    </row>
    <row r="423" spans="1:16" x14ac:dyDescent="0.3">
      <c r="A423" s="3" t="s">
        <v>40</v>
      </c>
      <c r="B423" s="1">
        <v>2025</v>
      </c>
      <c r="C423" s="10">
        <v>45689</v>
      </c>
      <c r="D423" s="2" t="s">
        <v>86</v>
      </c>
      <c r="E423" s="18" t="s">
        <v>66</v>
      </c>
      <c r="F423" s="18" t="s">
        <v>91</v>
      </c>
      <c r="G423" s="19" t="s">
        <v>68</v>
      </c>
      <c r="H423" s="23" t="s">
        <v>92</v>
      </c>
      <c r="I423" s="71" t="s">
        <v>0</v>
      </c>
      <c r="J423" s="71" t="s">
        <v>9</v>
      </c>
      <c r="K423" s="71">
        <v>1</v>
      </c>
      <c r="L423" s="71">
        <v>28</v>
      </c>
      <c r="M423" s="25">
        <v>970.2</v>
      </c>
      <c r="N423" s="39">
        <f>Data[[#This Row],[Gross Wages]]/Data[[#This Row],[No. of Hours Worked]]</f>
        <v>34.65</v>
      </c>
      <c r="P423" s="33"/>
    </row>
    <row r="424" spans="1:16" x14ac:dyDescent="0.3">
      <c r="A424" s="3" t="s">
        <v>40</v>
      </c>
      <c r="B424" s="1">
        <v>2025</v>
      </c>
      <c r="C424" s="10">
        <v>45689</v>
      </c>
      <c r="D424" s="2" t="s">
        <v>86</v>
      </c>
      <c r="E424" s="18" t="s">
        <v>66</v>
      </c>
      <c r="F424" s="18" t="s">
        <v>78</v>
      </c>
      <c r="G424" s="19" t="s">
        <v>68</v>
      </c>
      <c r="H424" s="23" t="s">
        <v>79</v>
      </c>
      <c r="I424" s="71" t="s">
        <v>0</v>
      </c>
      <c r="J424" s="71" t="s">
        <v>9</v>
      </c>
      <c r="K424" s="71">
        <v>1</v>
      </c>
      <c r="L424" s="71">
        <v>28</v>
      </c>
      <c r="M424" s="25">
        <v>1096.2</v>
      </c>
      <c r="N424" s="39">
        <f>Data[[#This Row],[Gross Wages]]/Data[[#This Row],[No. of Hours Worked]]</f>
        <v>39.15</v>
      </c>
      <c r="P424" s="33"/>
    </row>
    <row r="425" spans="1:16" x14ac:dyDescent="0.3">
      <c r="A425" s="3" t="s">
        <v>41</v>
      </c>
      <c r="B425" s="1">
        <v>2025</v>
      </c>
      <c r="C425" s="10">
        <v>45689</v>
      </c>
      <c r="D425" s="2" t="s">
        <v>86</v>
      </c>
      <c r="E425" s="18" t="s">
        <v>66</v>
      </c>
      <c r="F425" s="18" t="s">
        <v>93</v>
      </c>
      <c r="G425" s="19" t="s">
        <v>68</v>
      </c>
      <c r="H425" s="23" t="s">
        <v>94</v>
      </c>
      <c r="I425" s="1" t="s">
        <v>1</v>
      </c>
      <c r="J425" s="71" t="s">
        <v>9</v>
      </c>
      <c r="K425" s="71">
        <v>1</v>
      </c>
      <c r="L425" s="71">
        <v>10</v>
      </c>
      <c r="M425" s="25">
        <v>333.41</v>
      </c>
      <c r="N425" s="39">
        <f>Data[[#This Row],[Gross Wages]]/Data[[#This Row],[No. of Hours Worked]]</f>
        <v>33.341000000000001</v>
      </c>
      <c r="P425" s="33"/>
    </row>
    <row r="426" spans="1:16" x14ac:dyDescent="0.3">
      <c r="A426" s="3" t="s">
        <v>41</v>
      </c>
      <c r="B426" s="1">
        <v>2025</v>
      </c>
      <c r="C426" s="10">
        <v>45689</v>
      </c>
      <c r="D426" s="2" t="s">
        <v>86</v>
      </c>
      <c r="E426" s="18" t="s">
        <v>66</v>
      </c>
      <c r="F426" s="18" t="s">
        <v>72</v>
      </c>
      <c r="G426" s="19" t="s">
        <v>73</v>
      </c>
      <c r="H426" s="23" t="s">
        <v>74</v>
      </c>
      <c r="I426" s="71" t="s">
        <v>0</v>
      </c>
      <c r="J426" s="71" t="s">
        <v>9</v>
      </c>
      <c r="K426" s="71">
        <v>3</v>
      </c>
      <c r="L426" s="71">
        <v>19</v>
      </c>
      <c r="M426" s="25">
        <v>538.5</v>
      </c>
      <c r="N426" s="39">
        <f>Data[[#This Row],[Gross Wages]]/Data[[#This Row],[No. of Hours Worked]]</f>
        <v>28.342105263157894</v>
      </c>
      <c r="P426" s="33"/>
    </row>
    <row r="427" spans="1:16" x14ac:dyDescent="0.3">
      <c r="A427" s="3" t="s">
        <v>41</v>
      </c>
      <c r="B427" s="1">
        <v>2025</v>
      </c>
      <c r="C427" s="10">
        <v>45689</v>
      </c>
      <c r="D427" s="2" t="s">
        <v>86</v>
      </c>
      <c r="E427" s="18" t="s">
        <v>66</v>
      </c>
      <c r="F427" s="18" t="s">
        <v>93</v>
      </c>
      <c r="G427" s="19" t="s">
        <v>68</v>
      </c>
      <c r="H427" s="23" t="s">
        <v>94</v>
      </c>
      <c r="I427" s="71" t="s">
        <v>0</v>
      </c>
      <c r="J427" s="71" t="s">
        <v>9</v>
      </c>
      <c r="K427" s="71">
        <v>4</v>
      </c>
      <c r="L427" s="71">
        <v>42</v>
      </c>
      <c r="M427" s="25">
        <v>1698.6000000000001</v>
      </c>
      <c r="N427" s="39">
        <f>Data[[#This Row],[Gross Wages]]/Data[[#This Row],[No. of Hours Worked]]</f>
        <v>40.442857142857143</v>
      </c>
      <c r="P427" s="33"/>
    </row>
    <row r="428" spans="1:16" x14ac:dyDescent="0.3">
      <c r="A428" s="3" t="s">
        <v>43</v>
      </c>
      <c r="B428" s="1">
        <v>2025</v>
      </c>
      <c r="C428" s="10">
        <v>45689</v>
      </c>
      <c r="D428" s="2" t="s">
        <v>86</v>
      </c>
      <c r="E428" s="18" t="s">
        <v>80</v>
      </c>
      <c r="F428" s="18" t="s">
        <v>88</v>
      </c>
      <c r="G428" s="19" t="s">
        <v>68</v>
      </c>
      <c r="H428" s="23" t="s">
        <v>89</v>
      </c>
      <c r="I428" s="71" t="s">
        <v>0</v>
      </c>
      <c r="J428" s="71" t="s">
        <v>9</v>
      </c>
      <c r="K428" s="71">
        <v>5</v>
      </c>
      <c r="L428" s="71">
        <v>702</v>
      </c>
      <c r="M428" s="25">
        <v>23724.38</v>
      </c>
      <c r="N428" s="39">
        <f>Data[[#This Row],[Gross Wages]]/Data[[#This Row],[No. of Hours Worked]]</f>
        <v>33.795413105413104</v>
      </c>
      <c r="P428" s="33"/>
    </row>
    <row r="429" spans="1:16" x14ac:dyDescent="0.3">
      <c r="A429" s="3" t="s">
        <v>44</v>
      </c>
      <c r="B429" s="1">
        <v>2025</v>
      </c>
      <c r="C429" s="10">
        <v>45689</v>
      </c>
      <c r="D429" s="2" t="s">
        <v>86</v>
      </c>
      <c r="E429" s="18" t="s">
        <v>66</v>
      </c>
      <c r="F429" s="18" t="s">
        <v>75</v>
      </c>
      <c r="G429" s="19" t="s">
        <v>68</v>
      </c>
      <c r="H429" s="23" t="s">
        <v>76</v>
      </c>
      <c r="I429" s="71" t="s">
        <v>0</v>
      </c>
      <c r="J429" s="71" t="s">
        <v>9</v>
      </c>
      <c r="K429" s="71">
        <v>1</v>
      </c>
      <c r="L429" s="71">
        <v>2</v>
      </c>
      <c r="M429" s="25">
        <v>108.36</v>
      </c>
      <c r="N429" s="39">
        <f>Data[[#This Row],[Gross Wages]]/Data[[#This Row],[No. of Hours Worked]]</f>
        <v>54.18</v>
      </c>
      <c r="P429" s="33"/>
    </row>
    <row r="430" spans="1:16" x14ac:dyDescent="0.3">
      <c r="A430" s="3" t="s">
        <v>44</v>
      </c>
      <c r="B430" s="1">
        <v>2025</v>
      </c>
      <c r="C430" s="10">
        <v>45689</v>
      </c>
      <c r="D430" s="2" t="s">
        <v>86</v>
      </c>
      <c r="E430" s="18" t="s">
        <v>66</v>
      </c>
      <c r="F430" s="18" t="s">
        <v>97</v>
      </c>
      <c r="G430" s="19" t="s">
        <v>68</v>
      </c>
      <c r="H430" s="23" t="s">
        <v>98</v>
      </c>
      <c r="I430" s="71" t="s">
        <v>0</v>
      </c>
      <c r="J430" s="71" t="s">
        <v>9</v>
      </c>
      <c r="K430" s="71">
        <v>1</v>
      </c>
      <c r="L430" s="71">
        <v>8</v>
      </c>
      <c r="M430" s="25">
        <v>346</v>
      </c>
      <c r="N430" s="39">
        <f>Data[[#This Row],[Gross Wages]]/Data[[#This Row],[No. of Hours Worked]]</f>
        <v>43.25</v>
      </c>
      <c r="P430" s="33"/>
    </row>
    <row r="431" spans="1:16" x14ac:dyDescent="0.3">
      <c r="A431" s="3" t="s">
        <v>44</v>
      </c>
      <c r="B431" s="1">
        <v>2025</v>
      </c>
      <c r="C431" s="10">
        <v>45689</v>
      </c>
      <c r="D431" s="2" t="s">
        <v>86</v>
      </c>
      <c r="E431" s="18" t="s">
        <v>66</v>
      </c>
      <c r="F431" s="18" t="s">
        <v>72</v>
      </c>
      <c r="G431" s="19" t="s">
        <v>73</v>
      </c>
      <c r="H431" s="23" t="s">
        <v>74</v>
      </c>
      <c r="I431" s="71" t="s">
        <v>0</v>
      </c>
      <c r="J431" s="71" t="s">
        <v>9</v>
      </c>
      <c r="K431" s="71">
        <v>1</v>
      </c>
      <c r="L431" s="71">
        <v>39.5</v>
      </c>
      <c r="M431" s="25">
        <v>1267.8800000000001</v>
      </c>
      <c r="N431" s="39">
        <f>Data[[#This Row],[Gross Wages]]/Data[[#This Row],[No. of Hours Worked]]</f>
        <v>32.098227848101267</v>
      </c>
      <c r="P431" s="33"/>
    </row>
    <row r="432" spans="1:16" x14ac:dyDescent="0.3">
      <c r="A432" s="3" t="s">
        <v>44</v>
      </c>
      <c r="B432" s="1">
        <v>2025</v>
      </c>
      <c r="C432" s="10">
        <v>45689</v>
      </c>
      <c r="D432" s="2" t="s">
        <v>86</v>
      </c>
      <c r="E432" s="18" t="s">
        <v>66</v>
      </c>
      <c r="F432" s="18" t="s">
        <v>95</v>
      </c>
      <c r="G432" s="19" t="s">
        <v>68</v>
      </c>
      <c r="H432" s="23" t="s">
        <v>96</v>
      </c>
      <c r="I432" s="71" t="s">
        <v>0</v>
      </c>
      <c r="J432" s="71" t="s">
        <v>9</v>
      </c>
      <c r="K432" s="71">
        <v>1</v>
      </c>
      <c r="L432" s="71">
        <v>56</v>
      </c>
      <c r="M432" s="25">
        <v>2744</v>
      </c>
      <c r="N432" s="39">
        <f>Data[[#This Row],[Gross Wages]]/Data[[#This Row],[No. of Hours Worked]]</f>
        <v>49</v>
      </c>
      <c r="P432" s="33"/>
    </row>
    <row r="433" spans="1:16" x14ac:dyDescent="0.3">
      <c r="A433" s="3" t="s">
        <v>45</v>
      </c>
      <c r="B433" s="1">
        <v>2025</v>
      </c>
      <c r="C433" s="10">
        <v>45689</v>
      </c>
      <c r="D433" s="2" t="s">
        <v>86</v>
      </c>
      <c r="E433" s="18" t="s">
        <v>66</v>
      </c>
      <c r="F433" s="18" t="s">
        <v>67</v>
      </c>
      <c r="G433" s="19" t="s">
        <v>68</v>
      </c>
      <c r="H433" s="23" t="s">
        <v>69</v>
      </c>
      <c r="I433" s="71" t="s">
        <v>2</v>
      </c>
      <c r="J433" s="71" t="s">
        <v>10</v>
      </c>
      <c r="K433" s="71">
        <v>1</v>
      </c>
      <c r="L433" s="71">
        <v>152</v>
      </c>
      <c r="M433" s="25">
        <v>6856.72</v>
      </c>
      <c r="N433" s="39">
        <f>Data[[#This Row],[Gross Wages]]/Data[[#This Row],[No. of Hours Worked]]</f>
        <v>45.11</v>
      </c>
      <c r="P433" s="33"/>
    </row>
    <row r="434" spans="1:16" x14ac:dyDescent="0.3">
      <c r="A434" s="3" t="s">
        <v>45</v>
      </c>
      <c r="B434" s="1">
        <v>2025</v>
      </c>
      <c r="C434" s="10">
        <v>45689</v>
      </c>
      <c r="D434" s="2" t="s">
        <v>86</v>
      </c>
      <c r="E434" s="18" t="s">
        <v>66</v>
      </c>
      <c r="F434" s="18" t="s">
        <v>67</v>
      </c>
      <c r="G434" s="19" t="s">
        <v>68</v>
      </c>
      <c r="H434" s="23" t="s">
        <v>69</v>
      </c>
      <c r="I434" s="71" t="s">
        <v>0</v>
      </c>
      <c r="J434" s="71" t="s">
        <v>9</v>
      </c>
      <c r="K434" s="71">
        <v>6</v>
      </c>
      <c r="L434" s="27">
        <v>874</v>
      </c>
      <c r="M434" s="25">
        <v>36887.730000000003</v>
      </c>
      <c r="N434" s="39">
        <f>Data[[#This Row],[Gross Wages]]/Data[[#This Row],[No. of Hours Worked]]</f>
        <v>42.205640732265451</v>
      </c>
      <c r="P434" s="33"/>
    </row>
    <row r="435" spans="1:16" x14ac:dyDescent="0.3">
      <c r="A435" s="3" t="s">
        <v>124</v>
      </c>
      <c r="B435" s="1">
        <v>2025</v>
      </c>
      <c r="C435" s="10">
        <v>45689</v>
      </c>
      <c r="D435" s="34" t="s">
        <v>86</v>
      </c>
      <c r="E435" s="1" t="s">
        <v>66</v>
      </c>
      <c r="F435" s="1" t="s">
        <v>125</v>
      </c>
      <c r="G435" s="1" t="s">
        <v>68</v>
      </c>
      <c r="H435" s="2" t="s">
        <v>126</v>
      </c>
      <c r="I435" s="1" t="s">
        <v>0</v>
      </c>
      <c r="J435" s="1" t="s">
        <v>9</v>
      </c>
      <c r="K435" s="1">
        <v>2</v>
      </c>
      <c r="L435" s="1">
        <v>10</v>
      </c>
      <c r="M435" s="28">
        <v>528</v>
      </c>
      <c r="N435" s="39">
        <f>Data[[#This Row],[Gross Wages]]/Data[[#This Row],[No. of Hours Worked]]</f>
        <v>52.8</v>
      </c>
      <c r="P435" s="33"/>
    </row>
    <row r="436" spans="1:16" x14ac:dyDescent="0.3">
      <c r="A436" s="3" t="s">
        <v>124</v>
      </c>
      <c r="B436" s="1">
        <v>2025</v>
      </c>
      <c r="C436" s="10">
        <v>45689</v>
      </c>
      <c r="D436" s="34" t="s">
        <v>86</v>
      </c>
      <c r="E436" s="1" t="s">
        <v>66</v>
      </c>
      <c r="F436" s="1" t="s">
        <v>97</v>
      </c>
      <c r="G436" s="1" t="s">
        <v>68</v>
      </c>
      <c r="H436" s="2" t="s">
        <v>98</v>
      </c>
      <c r="I436" s="1" t="s">
        <v>0</v>
      </c>
      <c r="J436" s="1" t="s">
        <v>9</v>
      </c>
      <c r="K436" s="1">
        <v>2</v>
      </c>
      <c r="L436" s="1">
        <v>12</v>
      </c>
      <c r="M436" s="28">
        <v>748.44</v>
      </c>
      <c r="N436" s="39">
        <f>Data[[#This Row],[Gross Wages]]/Data[[#This Row],[No. of Hours Worked]]</f>
        <v>62.370000000000005</v>
      </c>
      <c r="P436" s="33"/>
    </row>
    <row r="437" spans="1:16" x14ac:dyDescent="0.3">
      <c r="A437" s="3" t="s">
        <v>124</v>
      </c>
      <c r="B437" s="1">
        <v>2025</v>
      </c>
      <c r="C437" s="10">
        <v>45689</v>
      </c>
      <c r="D437" s="34" t="s">
        <v>86</v>
      </c>
      <c r="E437" s="1" t="s">
        <v>66</v>
      </c>
      <c r="F437" s="1" t="s">
        <v>72</v>
      </c>
      <c r="G437" s="1" t="s">
        <v>73</v>
      </c>
      <c r="H437" s="2" t="s">
        <v>74</v>
      </c>
      <c r="I437" s="1" t="s">
        <v>0</v>
      </c>
      <c r="J437" s="1" t="s">
        <v>9</v>
      </c>
      <c r="K437" s="1">
        <v>3</v>
      </c>
      <c r="L437" s="1">
        <v>46</v>
      </c>
      <c r="M437" s="28">
        <v>2476.2399999999998</v>
      </c>
      <c r="N437" s="39">
        <f>Data[[#This Row],[Gross Wages]]/Data[[#This Row],[No. of Hours Worked]]</f>
        <v>53.831304347826084</v>
      </c>
      <c r="P437" s="33"/>
    </row>
    <row r="438" spans="1:16" x14ac:dyDescent="0.3">
      <c r="A438" s="3" t="s">
        <v>102</v>
      </c>
      <c r="B438" s="1">
        <v>2025</v>
      </c>
      <c r="C438" s="10">
        <v>45689</v>
      </c>
      <c r="D438" s="2" t="s">
        <v>86</v>
      </c>
      <c r="E438" s="18" t="s">
        <v>66</v>
      </c>
      <c r="F438" s="18" t="s">
        <v>84</v>
      </c>
      <c r="G438" s="19" t="s">
        <v>68</v>
      </c>
      <c r="H438" s="23" t="s">
        <v>85</v>
      </c>
      <c r="I438" s="71" t="s">
        <v>0</v>
      </c>
      <c r="J438" s="71" t="s">
        <v>9</v>
      </c>
      <c r="K438" s="71">
        <v>1</v>
      </c>
      <c r="L438" s="71">
        <v>148</v>
      </c>
      <c r="M438" s="25">
        <v>6216</v>
      </c>
      <c r="N438" s="39">
        <f>Data[[#This Row],[Gross Wages]]/Data[[#This Row],[No. of Hours Worked]]</f>
        <v>42</v>
      </c>
      <c r="P438" s="33"/>
    </row>
    <row r="439" spans="1:16" x14ac:dyDescent="0.3">
      <c r="A439" s="3" t="s">
        <v>46</v>
      </c>
      <c r="B439" s="1">
        <v>2025</v>
      </c>
      <c r="C439" s="10">
        <v>45689</v>
      </c>
      <c r="D439" s="2" t="s">
        <v>86</v>
      </c>
      <c r="E439" s="18" t="s">
        <v>66</v>
      </c>
      <c r="F439" s="18" t="s">
        <v>70</v>
      </c>
      <c r="G439" s="19" t="s">
        <v>68</v>
      </c>
      <c r="H439" s="23" t="s">
        <v>71</v>
      </c>
      <c r="I439" s="71" t="s">
        <v>0</v>
      </c>
      <c r="J439" s="71" t="s">
        <v>9</v>
      </c>
      <c r="K439" s="71">
        <v>2</v>
      </c>
      <c r="L439" s="71">
        <v>200</v>
      </c>
      <c r="M439" s="25">
        <v>10796</v>
      </c>
      <c r="N439" s="39">
        <f>Data[[#This Row],[Gross Wages]]/Data[[#This Row],[No. of Hours Worked]]</f>
        <v>53.98</v>
      </c>
      <c r="P439" s="33"/>
    </row>
    <row r="440" spans="1:16" x14ac:dyDescent="0.3">
      <c r="A440" s="3" t="s">
        <v>140</v>
      </c>
      <c r="B440" s="1">
        <v>2025</v>
      </c>
      <c r="C440" s="10">
        <v>45689</v>
      </c>
      <c r="D440" s="34" t="s">
        <v>86</v>
      </c>
      <c r="E440" s="1" t="s">
        <v>66</v>
      </c>
      <c r="F440" s="1" t="s">
        <v>70</v>
      </c>
      <c r="G440" s="1" t="s">
        <v>68</v>
      </c>
      <c r="H440" s="2" t="s">
        <v>71</v>
      </c>
      <c r="I440" s="1" t="s">
        <v>0</v>
      </c>
      <c r="J440" s="1" t="s">
        <v>9</v>
      </c>
      <c r="K440" s="1">
        <v>10</v>
      </c>
      <c r="L440" s="1">
        <v>1183</v>
      </c>
      <c r="M440" s="28">
        <v>35979.79</v>
      </c>
      <c r="N440" s="39">
        <f>Data[[#This Row],[Gross Wages]]/Data[[#This Row],[No. of Hours Worked]]</f>
        <v>30.414023668639054</v>
      </c>
      <c r="P440" s="33"/>
    </row>
    <row r="441" spans="1:16" x14ac:dyDescent="0.3">
      <c r="A441" s="3" t="s">
        <v>140</v>
      </c>
      <c r="B441" s="1">
        <v>2025</v>
      </c>
      <c r="C441" s="10">
        <v>45689</v>
      </c>
      <c r="D441" s="34" t="s">
        <v>86</v>
      </c>
      <c r="E441" s="1" t="s">
        <v>66</v>
      </c>
      <c r="F441" s="1" t="s">
        <v>72</v>
      </c>
      <c r="G441" s="1" t="s">
        <v>73</v>
      </c>
      <c r="H441" s="2" t="s">
        <v>74</v>
      </c>
      <c r="I441" s="1" t="s">
        <v>0</v>
      </c>
      <c r="J441" s="1" t="s">
        <v>9</v>
      </c>
      <c r="K441" s="1">
        <v>3</v>
      </c>
      <c r="L441" s="1">
        <v>40</v>
      </c>
      <c r="M441" s="28">
        <v>1060</v>
      </c>
      <c r="N441" s="39">
        <f>Data[[#This Row],[Gross Wages]]/Data[[#This Row],[No. of Hours Worked]]</f>
        <v>26.5</v>
      </c>
      <c r="P441" s="33"/>
    </row>
    <row r="442" spans="1:16" x14ac:dyDescent="0.3">
      <c r="A442" s="3" t="s">
        <v>140</v>
      </c>
      <c r="B442" s="1">
        <v>2025</v>
      </c>
      <c r="C442" s="10">
        <v>45689</v>
      </c>
      <c r="D442" s="34" t="s">
        <v>86</v>
      </c>
      <c r="E442" s="1" t="s">
        <v>66</v>
      </c>
      <c r="F442" s="1" t="s">
        <v>141</v>
      </c>
      <c r="G442" s="1" t="s">
        <v>68</v>
      </c>
      <c r="H442" s="2" t="s">
        <v>142</v>
      </c>
      <c r="I442" s="1" t="s">
        <v>0</v>
      </c>
      <c r="J442" s="1" t="s">
        <v>9</v>
      </c>
      <c r="K442" s="1">
        <v>2</v>
      </c>
      <c r="L442" s="1">
        <v>90</v>
      </c>
      <c r="M442" s="28">
        <v>2705.2</v>
      </c>
      <c r="N442" s="39">
        <f>Data[[#This Row],[Gross Wages]]/Data[[#This Row],[No. of Hours Worked]]</f>
        <v>30.057777777777776</v>
      </c>
      <c r="P442" s="33"/>
    </row>
    <row r="443" spans="1:16" x14ac:dyDescent="0.3">
      <c r="A443" s="3" t="s">
        <v>106</v>
      </c>
      <c r="B443" s="1">
        <v>2025</v>
      </c>
      <c r="C443" s="10">
        <v>45689</v>
      </c>
      <c r="D443" s="2" t="s">
        <v>86</v>
      </c>
      <c r="E443" s="18" t="s">
        <v>66</v>
      </c>
      <c r="F443" s="18" t="s">
        <v>104</v>
      </c>
      <c r="G443" s="19" t="s">
        <v>68</v>
      </c>
      <c r="H443" s="23" t="s">
        <v>105</v>
      </c>
      <c r="I443" s="71" t="s">
        <v>0</v>
      </c>
      <c r="J443" s="71" t="s">
        <v>9</v>
      </c>
      <c r="K443" s="71">
        <v>1</v>
      </c>
      <c r="L443" s="71">
        <v>32</v>
      </c>
      <c r="M443" s="25">
        <v>681.28</v>
      </c>
      <c r="N443" s="39">
        <f>Data[[#This Row],[Gross Wages]]/Data[[#This Row],[No. of Hours Worked]]</f>
        <v>21.29</v>
      </c>
      <c r="P443" s="33"/>
    </row>
    <row r="444" spans="1:16" x14ac:dyDescent="0.3">
      <c r="A444" s="3" t="s">
        <v>106</v>
      </c>
      <c r="B444" s="1">
        <v>2025</v>
      </c>
      <c r="C444" s="10">
        <v>45689</v>
      </c>
      <c r="D444" s="2" t="s">
        <v>86</v>
      </c>
      <c r="E444" s="18" t="s">
        <v>66</v>
      </c>
      <c r="F444" s="18" t="s">
        <v>90</v>
      </c>
      <c r="G444" s="19" t="s">
        <v>68</v>
      </c>
      <c r="H444" s="23" t="s">
        <v>99</v>
      </c>
      <c r="I444" s="71" t="s">
        <v>0</v>
      </c>
      <c r="J444" s="71" t="s">
        <v>9</v>
      </c>
      <c r="K444" s="71">
        <v>2</v>
      </c>
      <c r="L444" s="71">
        <v>133</v>
      </c>
      <c r="M444" s="25">
        <v>5682.5</v>
      </c>
      <c r="N444" s="39">
        <f>Data[[#This Row],[Gross Wages]]/Data[[#This Row],[No. of Hours Worked]]</f>
        <v>42.725563909774436</v>
      </c>
      <c r="P444" s="33"/>
    </row>
    <row r="445" spans="1:16" x14ac:dyDescent="0.3">
      <c r="A445" s="3" t="s">
        <v>112</v>
      </c>
      <c r="B445" s="1">
        <v>2025</v>
      </c>
      <c r="C445" s="10">
        <v>45689</v>
      </c>
      <c r="D445" s="2" t="s">
        <v>86</v>
      </c>
      <c r="E445" s="18" t="s">
        <v>66</v>
      </c>
      <c r="F445" s="18" t="s">
        <v>109</v>
      </c>
      <c r="G445" s="19" t="s">
        <v>68</v>
      </c>
      <c r="H445" s="23" t="s">
        <v>110</v>
      </c>
      <c r="I445" s="71" t="s">
        <v>0</v>
      </c>
      <c r="J445" s="71" t="s">
        <v>9</v>
      </c>
      <c r="K445" s="71">
        <v>2</v>
      </c>
      <c r="L445" s="71">
        <v>47</v>
      </c>
      <c r="M445" s="25">
        <v>1242.5</v>
      </c>
      <c r="N445" s="39">
        <f>Data[[#This Row],[Gross Wages]]/Data[[#This Row],[No. of Hours Worked]]</f>
        <v>26.436170212765958</v>
      </c>
      <c r="P445" s="33"/>
    </row>
    <row r="446" spans="1:16" x14ac:dyDescent="0.3">
      <c r="A446" s="3" t="s">
        <v>112</v>
      </c>
      <c r="B446" s="1">
        <v>2025</v>
      </c>
      <c r="C446" s="10">
        <v>45689</v>
      </c>
      <c r="D446" s="2" t="s">
        <v>86</v>
      </c>
      <c r="E446" s="18" t="s">
        <v>66</v>
      </c>
      <c r="F446" s="18" t="s">
        <v>109</v>
      </c>
      <c r="G446" s="19" t="s">
        <v>68</v>
      </c>
      <c r="H446" s="23" t="s">
        <v>110</v>
      </c>
      <c r="I446" s="71" t="s">
        <v>111</v>
      </c>
      <c r="J446" s="71" t="s">
        <v>9</v>
      </c>
      <c r="K446" s="71">
        <v>2</v>
      </c>
      <c r="L446" s="71">
        <v>42</v>
      </c>
      <c r="M446" s="25">
        <v>1249.47</v>
      </c>
      <c r="N446" s="39">
        <f>Data[[#This Row],[Gross Wages]]/Data[[#This Row],[No. of Hours Worked]]</f>
        <v>29.749285714285715</v>
      </c>
      <c r="P446" s="33"/>
    </row>
    <row r="447" spans="1:16" x14ac:dyDescent="0.3">
      <c r="A447" s="3" t="s">
        <v>128</v>
      </c>
      <c r="B447" s="1">
        <v>2025</v>
      </c>
      <c r="C447" s="10">
        <v>45689</v>
      </c>
      <c r="D447" s="34" t="s">
        <v>86</v>
      </c>
      <c r="E447" s="1" t="s">
        <v>66</v>
      </c>
      <c r="F447" s="1" t="s">
        <v>97</v>
      </c>
      <c r="G447" s="1" t="s">
        <v>68</v>
      </c>
      <c r="H447" s="2" t="s">
        <v>98</v>
      </c>
      <c r="I447" s="1" t="s">
        <v>0</v>
      </c>
      <c r="J447" s="1" t="s">
        <v>9</v>
      </c>
      <c r="K447" s="1">
        <v>8</v>
      </c>
      <c r="L447" s="1">
        <v>518</v>
      </c>
      <c r="M447" s="28">
        <v>19180.25</v>
      </c>
      <c r="N447" s="39">
        <f>Data[[#This Row],[Gross Wages]]/Data[[#This Row],[No. of Hours Worked]]</f>
        <v>37.02750965250965</v>
      </c>
      <c r="P447" s="33"/>
    </row>
    <row r="448" spans="1:16" ht="15" thickBot="1" x14ac:dyDescent="0.35">
      <c r="A448" s="3" t="s">
        <v>48</v>
      </c>
      <c r="B448" s="1">
        <v>2025</v>
      </c>
      <c r="C448" s="10">
        <v>45689</v>
      </c>
      <c r="D448" s="2" t="s">
        <v>86</v>
      </c>
      <c r="E448" s="1" t="s">
        <v>66</v>
      </c>
      <c r="F448" s="1" t="s">
        <v>84</v>
      </c>
      <c r="G448" s="1" t="s">
        <v>68</v>
      </c>
      <c r="H448" s="2" t="s">
        <v>85</v>
      </c>
      <c r="I448" s="1" t="s">
        <v>0</v>
      </c>
      <c r="J448" s="1" t="s">
        <v>9</v>
      </c>
      <c r="K448" s="1">
        <v>12</v>
      </c>
      <c r="L448" s="1">
        <v>885</v>
      </c>
      <c r="M448" s="28">
        <v>35742</v>
      </c>
      <c r="N448" s="39">
        <f>Data[[#This Row],[Gross Wages]]/Data[[#This Row],[No. of Hours Worked]]</f>
        <v>40.3864406779661</v>
      </c>
      <c r="P448" s="33"/>
    </row>
    <row r="449" spans="1:16" ht="15" thickBot="1" x14ac:dyDescent="0.35">
      <c r="A449" s="3" t="s">
        <v>49</v>
      </c>
      <c r="B449" s="1">
        <v>2025</v>
      </c>
      <c r="C449" s="10">
        <v>45689</v>
      </c>
      <c r="D449" s="2" t="s">
        <v>86</v>
      </c>
      <c r="E449" s="18" t="s">
        <v>66</v>
      </c>
      <c r="F449" s="18" t="s">
        <v>67</v>
      </c>
      <c r="G449" s="19" t="s">
        <v>68</v>
      </c>
      <c r="H449" s="23" t="s">
        <v>69</v>
      </c>
      <c r="I449" s="72" t="s">
        <v>0</v>
      </c>
      <c r="J449" s="71" t="s">
        <v>9</v>
      </c>
      <c r="K449" s="71">
        <v>4</v>
      </c>
      <c r="L449" s="71">
        <v>586</v>
      </c>
      <c r="M449" s="25">
        <v>42285.760000000002</v>
      </c>
      <c r="N449" s="39">
        <f>Data[[#This Row],[Gross Wages]]/Data[[#This Row],[No. of Hours Worked]]</f>
        <v>72.16</v>
      </c>
      <c r="P449" s="33"/>
    </row>
    <row r="450" spans="1:16" x14ac:dyDescent="0.3">
      <c r="A450" s="3" t="s">
        <v>50</v>
      </c>
      <c r="B450" s="1">
        <v>2025</v>
      </c>
      <c r="C450" s="10">
        <v>45689</v>
      </c>
      <c r="D450" s="2" t="s">
        <v>86</v>
      </c>
      <c r="E450" s="18" t="s">
        <v>66</v>
      </c>
      <c r="F450" s="18" t="s">
        <v>100</v>
      </c>
      <c r="G450" s="19" t="s">
        <v>68</v>
      </c>
      <c r="H450" s="23" t="s">
        <v>101</v>
      </c>
      <c r="I450" s="71" t="s">
        <v>0</v>
      </c>
      <c r="J450" s="71" t="s">
        <v>9</v>
      </c>
      <c r="K450" s="71">
        <v>10</v>
      </c>
      <c r="L450" s="71">
        <v>367.94</v>
      </c>
      <c r="M450" s="25">
        <v>12831.22</v>
      </c>
      <c r="N450" s="39">
        <f>Data[[#This Row],[Gross Wages]]/Data[[#This Row],[No. of Hours Worked]]</f>
        <v>34.873131488829699</v>
      </c>
      <c r="P450" s="33"/>
    </row>
    <row r="451" spans="1:16" x14ac:dyDescent="0.3">
      <c r="A451" s="3" t="s">
        <v>51</v>
      </c>
      <c r="B451" s="1">
        <v>2025</v>
      </c>
      <c r="C451" s="10">
        <v>45689</v>
      </c>
      <c r="D451" s="2" t="s">
        <v>86</v>
      </c>
      <c r="E451" s="18" t="s">
        <v>66</v>
      </c>
      <c r="F451" s="18" t="s">
        <v>72</v>
      </c>
      <c r="G451" s="19" t="s">
        <v>73</v>
      </c>
      <c r="H451" s="23" t="s">
        <v>74</v>
      </c>
      <c r="I451" s="71" t="s">
        <v>0</v>
      </c>
      <c r="J451" s="71" t="s">
        <v>10</v>
      </c>
      <c r="K451" s="71">
        <v>1</v>
      </c>
      <c r="L451" s="71">
        <v>46.08</v>
      </c>
      <c r="M451" s="25">
        <v>1893.8</v>
      </c>
      <c r="N451" s="39">
        <f>Data[[#This Row],[Gross Wages]]/Data[[#This Row],[No. of Hours Worked]]</f>
        <v>41.098090277777779</v>
      </c>
      <c r="P451" s="33"/>
    </row>
    <row r="452" spans="1:16" x14ac:dyDescent="0.3">
      <c r="A452" s="3" t="s">
        <v>51</v>
      </c>
      <c r="B452" s="1">
        <v>2025</v>
      </c>
      <c r="C452" s="10">
        <v>45689</v>
      </c>
      <c r="D452" s="2" t="s">
        <v>86</v>
      </c>
      <c r="E452" s="18" t="s">
        <v>66</v>
      </c>
      <c r="F452" s="18" t="s">
        <v>70</v>
      </c>
      <c r="G452" s="19" t="s">
        <v>68</v>
      </c>
      <c r="H452" s="23" t="s">
        <v>71</v>
      </c>
      <c r="I452" s="71" t="s">
        <v>0</v>
      </c>
      <c r="J452" s="71" t="s">
        <v>9</v>
      </c>
      <c r="K452" s="71">
        <v>2</v>
      </c>
      <c r="L452" s="71">
        <v>91.99</v>
      </c>
      <c r="M452" s="20">
        <v>3829.09</v>
      </c>
      <c r="N452" s="39">
        <f>Data[[#This Row],[Gross Wages]]/Data[[#This Row],[No. of Hours Worked]]</f>
        <v>41.625067942167632</v>
      </c>
      <c r="P452" s="33"/>
    </row>
    <row r="453" spans="1:16" x14ac:dyDescent="0.3">
      <c r="A453" s="3" t="s">
        <v>52</v>
      </c>
      <c r="B453" s="1">
        <v>2025</v>
      </c>
      <c r="C453" s="10">
        <v>45689</v>
      </c>
      <c r="D453" s="2" t="s">
        <v>86</v>
      </c>
      <c r="E453" s="18" t="s">
        <v>66</v>
      </c>
      <c r="F453" s="18" t="s">
        <v>90</v>
      </c>
      <c r="G453" s="19" t="s">
        <v>68</v>
      </c>
      <c r="H453" s="23" t="s">
        <v>99</v>
      </c>
      <c r="I453" s="71" t="s">
        <v>0</v>
      </c>
      <c r="J453" s="71" t="s">
        <v>9</v>
      </c>
      <c r="K453" s="71">
        <v>5</v>
      </c>
      <c r="L453" s="71">
        <v>336</v>
      </c>
      <c r="M453" s="25">
        <v>21001.9</v>
      </c>
      <c r="N453" s="39">
        <f>Data[[#This Row],[Gross Wages]]/Data[[#This Row],[No. of Hours Worked]]</f>
        <v>62.505654761904765</v>
      </c>
      <c r="P453" s="33"/>
    </row>
    <row r="454" spans="1:16" ht="15" thickBot="1" x14ac:dyDescent="0.35">
      <c r="A454" s="3" t="s">
        <v>123</v>
      </c>
      <c r="B454" s="1">
        <v>2025</v>
      </c>
      <c r="C454" s="10">
        <v>45689</v>
      </c>
      <c r="D454" s="34" t="s">
        <v>86</v>
      </c>
      <c r="E454" s="1" t="s">
        <v>66</v>
      </c>
      <c r="F454" s="1" t="s">
        <v>67</v>
      </c>
      <c r="G454" s="1" t="s">
        <v>68</v>
      </c>
      <c r="H454" s="2" t="s">
        <v>69</v>
      </c>
      <c r="I454" s="1" t="s">
        <v>111</v>
      </c>
      <c r="J454" s="1" t="s">
        <v>9</v>
      </c>
      <c r="K454" s="1">
        <v>1</v>
      </c>
      <c r="L454" s="1">
        <v>104</v>
      </c>
      <c r="M454" s="28">
        <v>2588.48</v>
      </c>
      <c r="N454" s="39">
        <f>Data[[#This Row],[Gross Wages]]/Data[[#This Row],[No. of Hours Worked]]</f>
        <v>24.889230769230771</v>
      </c>
      <c r="P454" s="33"/>
    </row>
    <row r="455" spans="1:16" ht="15" thickBot="1" x14ac:dyDescent="0.35">
      <c r="A455" s="3" t="s">
        <v>123</v>
      </c>
      <c r="B455" s="1">
        <v>2025</v>
      </c>
      <c r="C455" s="10">
        <v>45689</v>
      </c>
      <c r="D455" s="34" t="s">
        <v>86</v>
      </c>
      <c r="E455" s="1" t="s">
        <v>66</v>
      </c>
      <c r="F455" s="1" t="s">
        <v>67</v>
      </c>
      <c r="G455" s="1" t="s">
        <v>68</v>
      </c>
      <c r="H455" s="2" t="s">
        <v>69</v>
      </c>
      <c r="I455" s="22" t="s">
        <v>2</v>
      </c>
      <c r="J455" s="1" t="s">
        <v>9</v>
      </c>
      <c r="K455" s="1">
        <v>1</v>
      </c>
      <c r="L455" s="1">
        <v>120</v>
      </c>
      <c r="M455" s="28">
        <v>5170</v>
      </c>
      <c r="N455" s="39">
        <f>Data[[#This Row],[Gross Wages]]/Data[[#This Row],[No. of Hours Worked]]</f>
        <v>43.083333333333336</v>
      </c>
      <c r="P455" s="33"/>
    </row>
    <row r="456" spans="1:16" x14ac:dyDescent="0.3">
      <c r="A456" s="3" t="s">
        <v>123</v>
      </c>
      <c r="B456" s="1">
        <v>2025</v>
      </c>
      <c r="C456" s="10">
        <v>45689</v>
      </c>
      <c r="D456" s="34" t="s">
        <v>86</v>
      </c>
      <c r="E456" s="1" t="s">
        <v>66</v>
      </c>
      <c r="F456" s="1" t="s">
        <v>67</v>
      </c>
      <c r="G456" s="1" t="s">
        <v>68</v>
      </c>
      <c r="H456" s="2" t="s">
        <v>69</v>
      </c>
      <c r="I456" s="1" t="s">
        <v>0</v>
      </c>
      <c r="J456" s="1" t="s">
        <v>9</v>
      </c>
      <c r="K456" s="1">
        <v>2</v>
      </c>
      <c r="L456" s="1">
        <v>383</v>
      </c>
      <c r="M456" s="28">
        <v>10606.03</v>
      </c>
      <c r="N456" s="39">
        <f>Data[[#This Row],[Gross Wages]]/Data[[#This Row],[No. of Hours Worked]]</f>
        <v>27.691984334203656</v>
      </c>
      <c r="P456" s="33"/>
    </row>
    <row r="457" spans="1:16" x14ac:dyDescent="0.3">
      <c r="A457" s="3" t="s">
        <v>132</v>
      </c>
      <c r="B457" s="1">
        <v>2025</v>
      </c>
      <c r="C457" s="10">
        <v>45689</v>
      </c>
      <c r="D457" s="34" t="s">
        <v>86</v>
      </c>
      <c r="E457" s="1" t="s">
        <v>66</v>
      </c>
      <c r="F457" s="1" t="s">
        <v>125</v>
      </c>
      <c r="G457" s="1" t="s">
        <v>68</v>
      </c>
      <c r="H457" s="2" t="s">
        <v>126</v>
      </c>
      <c r="I457" s="1" t="s">
        <v>2</v>
      </c>
      <c r="J457" s="1" t="s">
        <v>9</v>
      </c>
      <c r="K457" s="1">
        <v>5</v>
      </c>
      <c r="L457" s="1">
        <v>154.5</v>
      </c>
      <c r="M457" s="28">
        <v>4120.96</v>
      </c>
      <c r="N457" s="39">
        <f>Data[[#This Row],[Gross Wages]]/Data[[#This Row],[No. of Hours Worked]]</f>
        <v>26.672880258899678</v>
      </c>
      <c r="P457" s="33"/>
    </row>
    <row r="458" spans="1:16" x14ac:dyDescent="0.3">
      <c r="A458" s="3" t="s">
        <v>132</v>
      </c>
      <c r="B458" s="17">
        <v>2025</v>
      </c>
      <c r="C458" s="11">
        <v>45690</v>
      </c>
      <c r="D458" s="42" t="s">
        <v>86</v>
      </c>
      <c r="E458" s="17" t="s">
        <v>66</v>
      </c>
      <c r="F458" s="17" t="s">
        <v>125</v>
      </c>
      <c r="G458" s="17" t="s">
        <v>68</v>
      </c>
      <c r="H458" s="35" t="s">
        <v>126</v>
      </c>
      <c r="I458" s="17" t="s">
        <v>0</v>
      </c>
      <c r="J458" s="17" t="s">
        <v>9</v>
      </c>
      <c r="K458" s="17">
        <v>11</v>
      </c>
      <c r="L458" s="17">
        <v>221</v>
      </c>
      <c r="M458" s="43">
        <v>7136.8</v>
      </c>
      <c r="N458" s="39">
        <f>Data[[#This Row],[Gross Wages]]/Data[[#This Row],[No. of Hours Worked]]</f>
        <v>32.293212669683257</v>
      </c>
    </row>
    <row r="459" spans="1:16" ht="15" thickBot="1" x14ac:dyDescent="0.35">
      <c r="A459" s="3" t="s">
        <v>132</v>
      </c>
      <c r="B459" s="17">
        <v>2025</v>
      </c>
      <c r="C459" s="11">
        <v>45691</v>
      </c>
      <c r="D459" s="42" t="s">
        <v>86</v>
      </c>
      <c r="E459" s="1" t="s">
        <v>66</v>
      </c>
      <c r="F459" s="1" t="s">
        <v>133</v>
      </c>
      <c r="G459" s="1" t="s">
        <v>68</v>
      </c>
      <c r="H459" s="2" t="s">
        <v>134</v>
      </c>
      <c r="I459" s="1" t="s">
        <v>0</v>
      </c>
      <c r="J459" s="1" t="s">
        <v>9</v>
      </c>
      <c r="K459" s="1">
        <v>5</v>
      </c>
      <c r="L459" s="1">
        <v>132</v>
      </c>
      <c r="M459" s="28">
        <v>4907.1400000000003</v>
      </c>
      <c r="N459" s="39">
        <f>Data[[#This Row],[Gross Wages]]/Data[[#This Row],[No. of Hours Worked]]</f>
        <v>37.175303030303034</v>
      </c>
    </row>
    <row r="460" spans="1:16" ht="15" thickBot="1" x14ac:dyDescent="0.35">
      <c r="A460" s="15" t="s">
        <v>40</v>
      </c>
      <c r="B460" s="17">
        <v>2025</v>
      </c>
      <c r="C460" s="10">
        <v>45717</v>
      </c>
      <c r="D460" s="2" t="s">
        <v>86</v>
      </c>
      <c r="E460" s="18" t="s">
        <v>66</v>
      </c>
      <c r="F460" s="18" t="s">
        <v>78</v>
      </c>
      <c r="G460" s="19" t="s">
        <v>68</v>
      </c>
      <c r="H460" s="23" t="s">
        <v>79</v>
      </c>
      <c r="I460" s="72" t="s">
        <v>0</v>
      </c>
      <c r="J460" s="71" t="s">
        <v>9</v>
      </c>
      <c r="K460" s="71">
        <v>1</v>
      </c>
      <c r="L460" s="71">
        <v>48</v>
      </c>
      <c r="M460" s="25">
        <v>1879.2</v>
      </c>
      <c r="N460" s="39">
        <f>Data[[#This Row],[Gross Wages]]/Data[[#This Row],[No. of Hours Worked]]</f>
        <v>39.15</v>
      </c>
    </row>
    <row r="461" spans="1:16" x14ac:dyDescent="0.3">
      <c r="A461" s="15" t="s">
        <v>40</v>
      </c>
      <c r="B461" s="1">
        <v>2025</v>
      </c>
      <c r="C461" s="10">
        <v>45717</v>
      </c>
      <c r="D461" s="2" t="s">
        <v>86</v>
      </c>
      <c r="E461" s="18" t="s">
        <v>66</v>
      </c>
      <c r="F461" s="18" t="s">
        <v>91</v>
      </c>
      <c r="G461" s="19" t="s">
        <v>68</v>
      </c>
      <c r="H461" s="23" t="s">
        <v>92</v>
      </c>
      <c r="I461" s="71" t="s">
        <v>0</v>
      </c>
      <c r="J461" s="71" t="s">
        <v>9</v>
      </c>
      <c r="K461" s="71">
        <v>3</v>
      </c>
      <c r="L461" s="71">
        <v>88</v>
      </c>
      <c r="M461" s="25">
        <v>2957.2</v>
      </c>
      <c r="N461" s="39">
        <f>Data[[#This Row],[Gross Wages]]/Data[[#This Row],[No. of Hours Worked]]</f>
        <v>33.604545454545452</v>
      </c>
    </row>
    <row r="462" spans="1:16" x14ac:dyDescent="0.3">
      <c r="A462" s="15" t="s">
        <v>43</v>
      </c>
      <c r="B462" s="1">
        <v>2025</v>
      </c>
      <c r="C462" s="10">
        <v>45717</v>
      </c>
      <c r="D462" s="2" t="s">
        <v>86</v>
      </c>
      <c r="E462" s="18" t="s">
        <v>80</v>
      </c>
      <c r="F462" s="18" t="s">
        <v>88</v>
      </c>
      <c r="G462" s="19" t="s">
        <v>68</v>
      </c>
      <c r="H462" s="23" t="s">
        <v>89</v>
      </c>
      <c r="I462" s="71" t="s">
        <v>0</v>
      </c>
      <c r="J462" s="71" t="s">
        <v>9</v>
      </c>
      <c r="K462" s="71">
        <v>6</v>
      </c>
      <c r="L462" s="71">
        <v>752</v>
      </c>
      <c r="M462" s="25">
        <v>26323.84</v>
      </c>
      <c r="N462" s="39">
        <f>Data[[#This Row],[Gross Wages]]/Data[[#This Row],[No. of Hours Worked]]</f>
        <v>35.005106382978724</v>
      </c>
    </row>
    <row r="463" spans="1:16" x14ac:dyDescent="0.3">
      <c r="A463" s="15" t="s">
        <v>45</v>
      </c>
      <c r="B463" s="1">
        <v>2025</v>
      </c>
      <c r="C463" s="10">
        <v>45717</v>
      </c>
      <c r="D463" s="2" t="s">
        <v>86</v>
      </c>
      <c r="E463" s="18" t="s">
        <v>66</v>
      </c>
      <c r="F463" s="18" t="s">
        <v>67</v>
      </c>
      <c r="G463" s="19" t="s">
        <v>68</v>
      </c>
      <c r="H463" s="23" t="s">
        <v>69</v>
      </c>
      <c r="I463" s="71" t="s">
        <v>2</v>
      </c>
      <c r="J463" s="71" t="s">
        <v>10</v>
      </c>
      <c r="K463" s="71">
        <v>2</v>
      </c>
      <c r="L463" s="71">
        <v>176</v>
      </c>
      <c r="M463" s="29">
        <v>7488.16</v>
      </c>
      <c r="N463" s="39">
        <f>Data[[#This Row],[Gross Wages]]/Data[[#This Row],[No. of Hours Worked]]</f>
        <v>42.546363636363637</v>
      </c>
    </row>
    <row r="464" spans="1:16" x14ac:dyDescent="0.3">
      <c r="A464" s="15" t="s">
        <v>45</v>
      </c>
      <c r="B464" s="1">
        <v>2025</v>
      </c>
      <c r="C464" s="10">
        <v>45717</v>
      </c>
      <c r="D464" s="2" t="s">
        <v>86</v>
      </c>
      <c r="E464" s="18" t="s">
        <v>66</v>
      </c>
      <c r="F464" s="18" t="s">
        <v>67</v>
      </c>
      <c r="G464" s="19" t="s">
        <v>68</v>
      </c>
      <c r="H464" s="23" t="s">
        <v>69</v>
      </c>
      <c r="I464" s="71" t="s">
        <v>0</v>
      </c>
      <c r="J464" s="71" t="s">
        <v>9</v>
      </c>
      <c r="K464" s="71">
        <v>7</v>
      </c>
      <c r="L464" s="71">
        <v>976</v>
      </c>
      <c r="M464" s="29">
        <v>42486.13</v>
      </c>
      <c r="N464" s="39">
        <f>Data[[#This Row],[Gross Wages]]/Data[[#This Row],[No. of Hours Worked]]</f>
        <v>43.530870901639339</v>
      </c>
    </row>
    <row r="465" spans="1:14" x14ac:dyDescent="0.3">
      <c r="A465" s="15" t="s">
        <v>124</v>
      </c>
      <c r="B465" s="1">
        <v>2025</v>
      </c>
      <c r="C465" s="10">
        <v>45717</v>
      </c>
      <c r="D465" s="34" t="s">
        <v>86</v>
      </c>
      <c r="E465" s="1" t="s">
        <v>66</v>
      </c>
      <c r="F465" s="1" t="s">
        <v>97</v>
      </c>
      <c r="G465" s="1" t="s">
        <v>68</v>
      </c>
      <c r="H465" s="2" t="s">
        <v>98</v>
      </c>
      <c r="I465" s="1" t="s">
        <v>0</v>
      </c>
      <c r="J465" s="1" t="s">
        <v>9</v>
      </c>
      <c r="K465" s="1">
        <v>2</v>
      </c>
      <c r="L465" s="1">
        <v>11</v>
      </c>
      <c r="M465" s="28">
        <v>686.07</v>
      </c>
      <c r="N465" s="39">
        <f>Data[[#This Row],[Gross Wages]]/Data[[#This Row],[No. of Hours Worked]]</f>
        <v>62.370000000000005</v>
      </c>
    </row>
    <row r="466" spans="1:14" ht="15" thickBot="1" x14ac:dyDescent="0.35">
      <c r="A466" s="15" t="s">
        <v>124</v>
      </c>
      <c r="B466" s="1">
        <v>2025</v>
      </c>
      <c r="C466" s="10">
        <v>45717</v>
      </c>
      <c r="D466" s="34" t="s">
        <v>86</v>
      </c>
      <c r="E466" s="1" t="s">
        <v>66</v>
      </c>
      <c r="F466" s="1" t="s">
        <v>125</v>
      </c>
      <c r="G466" s="1" t="s">
        <v>68</v>
      </c>
      <c r="H466" s="2" t="s">
        <v>126</v>
      </c>
      <c r="I466" s="1" t="s">
        <v>0</v>
      </c>
      <c r="J466" s="1" t="s">
        <v>9</v>
      </c>
      <c r="K466" s="1">
        <v>2</v>
      </c>
      <c r="L466" s="1">
        <v>22</v>
      </c>
      <c r="M466" s="28">
        <v>1200.48</v>
      </c>
      <c r="N466" s="39">
        <f>Data[[#This Row],[Gross Wages]]/Data[[#This Row],[No. of Hours Worked]]</f>
        <v>54.56727272727273</v>
      </c>
    </row>
    <row r="467" spans="1:14" ht="15" thickBot="1" x14ac:dyDescent="0.35">
      <c r="A467" s="15" t="s">
        <v>46</v>
      </c>
      <c r="B467" s="1">
        <v>2025</v>
      </c>
      <c r="C467" s="10">
        <v>45717</v>
      </c>
      <c r="D467" s="2" t="s">
        <v>86</v>
      </c>
      <c r="E467" s="18" t="s">
        <v>66</v>
      </c>
      <c r="F467" s="18" t="s">
        <v>70</v>
      </c>
      <c r="G467" s="19" t="s">
        <v>68</v>
      </c>
      <c r="H467" s="23" t="s">
        <v>71</v>
      </c>
      <c r="I467" s="72" t="s">
        <v>0</v>
      </c>
      <c r="J467" s="71" t="s">
        <v>9</v>
      </c>
      <c r="K467" s="71">
        <v>2</v>
      </c>
      <c r="L467" s="71">
        <v>200</v>
      </c>
      <c r="M467" s="25">
        <v>10796</v>
      </c>
      <c r="N467" s="39">
        <f>Data[[#This Row],[Gross Wages]]/Data[[#This Row],[No. of Hours Worked]]</f>
        <v>53.98</v>
      </c>
    </row>
    <row r="468" spans="1:14" x14ac:dyDescent="0.3">
      <c r="A468" s="15" t="s">
        <v>127</v>
      </c>
      <c r="B468" s="1">
        <v>2025</v>
      </c>
      <c r="C468" s="10">
        <v>45717</v>
      </c>
      <c r="D468" s="34" t="s">
        <v>86</v>
      </c>
      <c r="E468" s="1" t="s">
        <v>66</v>
      </c>
      <c r="F468" s="1" t="s">
        <v>93</v>
      </c>
      <c r="G468" s="1" t="s">
        <v>68</v>
      </c>
      <c r="H468" s="2" t="s">
        <v>94</v>
      </c>
      <c r="I468" s="1" t="s">
        <v>0</v>
      </c>
      <c r="J468" s="1" t="s">
        <v>9</v>
      </c>
      <c r="K468" s="1">
        <v>4</v>
      </c>
      <c r="L468" s="1">
        <v>260</v>
      </c>
      <c r="M468" s="28">
        <v>8813.31</v>
      </c>
      <c r="N468" s="39">
        <f>Data[[#This Row],[Gross Wages]]/Data[[#This Row],[No. of Hours Worked]]</f>
        <v>33.897346153846151</v>
      </c>
    </row>
    <row r="469" spans="1:14" x14ac:dyDescent="0.3">
      <c r="A469" s="15" t="s">
        <v>140</v>
      </c>
      <c r="B469" s="1">
        <v>2025</v>
      </c>
      <c r="C469" s="10">
        <v>45717</v>
      </c>
      <c r="D469" s="34" t="s">
        <v>87</v>
      </c>
      <c r="E469" s="1" t="s">
        <v>66</v>
      </c>
      <c r="F469" s="1" t="s">
        <v>70</v>
      </c>
      <c r="G469" s="1" t="s">
        <v>68</v>
      </c>
      <c r="H469" s="2" t="s">
        <v>71</v>
      </c>
      <c r="I469" s="1" t="s">
        <v>0</v>
      </c>
      <c r="J469" s="1" t="s">
        <v>9</v>
      </c>
      <c r="K469" s="1">
        <v>14</v>
      </c>
      <c r="L469" s="1">
        <v>2049</v>
      </c>
      <c r="M469" s="28">
        <v>60503.48</v>
      </c>
      <c r="N469" s="39">
        <f>Data[[#This Row],[Gross Wages]]/Data[[#This Row],[No. of Hours Worked]]</f>
        <v>29.528296730112253</v>
      </c>
    </row>
    <row r="470" spans="1:14" x14ac:dyDescent="0.3">
      <c r="A470" s="15" t="s">
        <v>140</v>
      </c>
      <c r="B470" s="1">
        <v>2025</v>
      </c>
      <c r="C470" s="10">
        <v>45717</v>
      </c>
      <c r="D470" s="34" t="s">
        <v>87</v>
      </c>
      <c r="E470" s="1" t="s">
        <v>66</v>
      </c>
      <c r="F470" s="1" t="s">
        <v>72</v>
      </c>
      <c r="G470" s="1" t="s">
        <v>73</v>
      </c>
      <c r="H470" s="2" t="s">
        <v>74</v>
      </c>
      <c r="I470" s="1" t="s">
        <v>0</v>
      </c>
      <c r="J470" s="1" t="s">
        <v>9</v>
      </c>
      <c r="K470" s="1">
        <v>2</v>
      </c>
      <c r="L470" s="1">
        <v>56</v>
      </c>
      <c r="M470" s="28">
        <v>1484</v>
      </c>
      <c r="N470" s="39">
        <f>Data[[#This Row],[Gross Wages]]/Data[[#This Row],[No. of Hours Worked]]</f>
        <v>26.5</v>
      </c>
    </row>
    <row r="471" spans="1:14" x14ac:dyDescent="0.3">
      <c r="A471" s="15" t="s">
        <v>140</v>
      </c>
      <c r="B471" s="1">
        <v>2025</v>
      </c>
      <c r="C471" s="10">
        <v>45717</v>
      </c>
      <c r="D471" s="34" t="s">
        <v>87</v>
      </c>
      <c r="E471" s="1" t="s">
        <v>66</v>
      </c>
      <c r="F471" s="1" t="s">
        <v>141</v>
      </c>
      <c r="G471" s="1" t="s">
        <v>68</v>
      </c>
      <c r="H471" s="2" t="s">
        <v>142</v>
      </c>
      <c r="I471" s="1" t="s">
        <v>0</v>
      </c>
      <c r="J471" s="1" t="s">
        <v>9</v>
      </c>
      <c r="K471" s="1">
        <v>2</v>
      </c>
      <c r="L471" s="1">
        <v>324</v>
      </c>
      <c r="M471" s="28">
        <v>9939.1200000000008</v>
      </c>
      <c r="N471" s="39">
        <f>Data[[#This Row],[Gross Wages]]/Data[[#This Row],[No. of Hours Worked]]</f>
        <v>30.6762962962963</v>
      </c>
    </row>
    <row r="472" spans="1:14" x14ac:dyDescent="0.3">
      <c r="A472" s="15" t="s">
        <v>106</v>
      </c>
      <c r="B472" s="1">
        <v>2025</v>
      </c>
      <c r="C472" s="10">
        <v>45717</v>
      </c>
      <c r="D472" s="2" t="s">
        <v>86</v>
      </c>
      <c r="E472" s="18" t="s">
        <v>66</v>
      </c>
      <c r="F472" s="18" t="s">
        <v>90</v>
      </c>
      <c r="G472" s="19" t="s">
        <v>68</v>
      </c>
      <c r="H472" s="23" t="s">
        <v>99</v>
      </c>
      <c r="I472" s="71" t="s">
        <v>0</v>
      </c>
      <c r="J472" s="71" t="s">
        <v>9</v>
      </c>
      <c r="K472" s="71">
        <v>1</v>
      </c>
      <c r="L472" s="71">
        <v>24</v>
      </c>
      <c r="M472" s="25">
        <v>786</v>
      </c>
      <c r="N472" s="39">
        <f>Data[[#This Row],[Gross Wages]]/Data[[#This Row],[No. of Hours Worked]]</f>
        <v>32.75</v>
      </c>
    </row>
    <row r="473" spans="1:14" x14ac:dyDescent="0.3">
      <c r="A473" s="15" t="s">
        <v>106</v>
      </c>
      <c r="B473" s="1">
        <v>2025</v>
      </c>
      <c r="C473" s="10">
        <v>45717</v>
      </c>
      <c r="D473" s="2" t="s">
        <v>86</v>
      </c>
      <c r="E473" s="18" t="s">
        <v>66</v>
      </c>
      <c r="F473" s="18" t="s">
        <v>104</v>
      </c>
      <c r="G473" s="19" t="s">
        <v>68</v>
      </c>
      <c r="H473" s="23" t="s">
        <v>105</v>
      </c>
      <c r="I473" s="71" t="s">
        <v>0</v>
      </c>
      <c r="J473" s="71" t="s">
        <v>9</v>
      </c>
      <c r="K473" s="71">
        <v>1</v>
      </c>
      <c r="L473" s="71">
        <v>64</v>
      </c>
      <c r="M473" s="25">
        <v>1362.56</v>
      </c>
      <c r="N473" s="39">
        <f>Data[[#This Row],[Gross Wages]]/Data[[#This Row],[No. of Hours Worked]]</f>
        <v>21.29</v>
      </c>
    </row>
    <row r="474" spans="1:14" x14ac:dyDescent="0.3">
      <c r="A474" s="15" t="s">
        <v>106</v>
      </c>
      <c r="B474" s="1">
        <v>2025</v>
      </c>
      <c r="C474" s="10">
        <v>45717</v>
      </c>
      <c r="D474" s="2" t="s">
        <v>86</v>
      </c>
      <c r="E474" s="18" t="s">
        <v>66</v>
      </c>
      <c r="F474" s="18" t="s">
        <v>90</v>
      </c>
      <c r="G474" s="19" t="s">
        <v>68</v>
      </c>
      <c r="H474" s="23" t="s">
        <v>99</v>
      </c>
      <c r="I474" s="71" t="s">
        <v>0</v>
      </c>
      <c r="J474" s="71" t="s">
        <v>9</v>
      </c>
      <c r="K474" s="71">
        <v>4</v>
      </c>
      <c r="L474" s="71">
        <v>297</v>
      </c>
      <c r="M474" s="25">
        <v>12819.38</v>
      </c>
      <c r="N474" s="39">
        <f>Data[[#This Row],[Gross Wages]]/Data[[#This Row],[No. of Hours Worked]]</f>
        <v>43.162895622895618</v>
      </c>
    </row>
    <row r="475" spans="1:14" x14ac:dyDescent="0.3">
      <c r="A475" s="15" t="s">
        <v>47</v>
      </c>
      <c r="B475" s="1">
        <v>2025</v>
      </c>
      <c r="C475" s="10">
        <v>45717</v>
      </c>
      <c r="D475" s="2" t="s">
        <v>86</v>
      </c>
      <c r="E475" s="18" t="s">
        <v>66</v>
      </c>
      <c r="F475" s="18" t="s">
        <v>107</v>
      </c>
      <c r="G475" s="19" t="s">
        <v>68</v>
      </c>
      <c r="H475" s="23" t="s">
        <v>108</v>
      </c>
      <c r="I475" s="71" t="s">
        <v>0</v>
      </c>
      <c r="J475" s="71" t="s">
        <v>9</v>
      </c>
      <c r="K475" s="71">
        <v>2</v>
      </c>
      <c r="L475" s="71">
        <v>128</v>
      </c>
      <c r="M475" s="25">
        <v>7948.16</v>
      </c>
      <c r="N475" s="39">
        <f>Data[[#This Row],[Gross Wages]]/Data[[#This Row],[No. of Hours Worked]]</f>
        <v>62.094999999999999</v>
      </c>
    </row>
    <row r="476" spans="1:14" x14ac:dyDescent="0.3">
      <c r="A476" s="15" t="s">
        <v>112</v>
      </c>
      <c r="B476" s="1">
        <v>2025</v>
      </c>
      <c r="C476" s="10">
        <v>45717</v>
      </c>
      <c r="D476" s="2" t="s">
        <v>86</v>
      </c>
      <c r="E476" s="18" t="s">
        <v>66</v>
      </c>
      <c r="F476" s="18" t="s">
        <v>109</v>
      </c>
      <c r="G476" s="19" t="s">
        <v>68</v>
      </c>
      <c r="H476" s="23" t="s">
        <v>110</v>
      </c>
      <c r="I476" s="71" t="s">
        <v>0</v>
      </c>
      <c r="J476" s="71" t="s">
        <v>9</v>
      </c>
      <c r="K476" s="71">
        <v>2</v>
      </c>
      <c r="L476" s="71">
        <v>69</v>
      </c>
      <c r="M476" s="29">
        <v>1938.75</v>
      </c>
      <c r="N476" s="39">
        <f>Data[[#This Row],[Gross Wages]]/Data[[#This Row],[No. of Hours Worked]]</f>
        <v>28.097826086956523</v>
      </c>
    </row>
    <row r="477" spans="1:14" x14ac:dyDescent="0.3">
      <c r="A477" s="15" t="s">
        <v>128</v>
      </c>
      <c r="B477" s="1">
        <v>2025</v>
      </c>
      <c r="C477" s="10">
        <v>45717</v>
      </c>
      <c r="D477" s="34" t="s">
        <v>86</v>
      </c>
      <c r="E477" s="1" t="s">
        <v>66</v>
      </c>
      <c r="F477" s="1" t="s">
        <v>97</v>
      </c>
      <c r="G477" s="1" t="s">
        <v>68</v>
      </c>
      <c r="H477" s="2" t="s">
        <v>98</v>
      </c>
      <c r="I477" s="1" t="s">
        <v>0</v>
      </c>
      <c r="J477" s="1" t="s">
        <v>9</v>
      </c>
      <c r="K477" s="1">
        <v>8</v>
      </c>
      <c r="L477" s="1">
        <v>518</v>
      </c>
      <c r="M477" s="28">
        <v>19180.25</v>
      </c>
      <c r="N477" s="39">
        <f>Data[[#This Row],[Gross Wages]]/Data[[#This Row],[No. of Hours Worked]]</f>
        <v>37.02750965250965</v>
      </c>
    </row>
    <row r="478" spans="1:14" x14ac:dyDescent="0.3">
      <c r="A478" s="15" t="s">
        <v>49</v>
      </c>
      <c r="B478" s="1">
        <v>2025</v>
      </c>
      <c r="C478" s="10">
        <v>45717</v>
      </c>
      <c r="D478" s="2" t="s">
        <v>86</v>
      </c>
      <c r="E478" s="18" t="s">
        <v>66</v>
      </c>
      <c r="F478" s="18" t="s">
        <v>67</v>
      </c>
      <c r="G478" s="19" t="s">
        <v>68</v>
      </c>
      <c r="H478" s="23" t="s">
        <v>69</v>
      </c>
      <c r="I478" s="71" t="s">
        <v>0</v>
      </c>
      <c r="J478" s="71" t="s">
        <v>9</v>
      </c>
      <c r="K478" s="71">
        <v>5</v>
      </c>
      <c r="L478" s="71">
        <v>880.5</v>
      </c>
      <c r="M478" s="25">
        <v>63536.88</v>
      </c>
      <c r="N478" s="39">
        <f>Data[[#This Row],[Gross Wages]]/Data[[#This Row],[No. of Hours Worked]]</f>
        <v>72.16</v>
      </c>
    </row>
    <row r="479" spans="1:14" x14ac:dyDescent="0.3">
      <c r="A479" s="15" t="s">
        <v>50</v>
      </c>
      <c r="B479" s="1">
        <v>2025</v>
      </c>
      <c r="C479" s="10">
        <v>45717</v>
      </c>
      <c r="D479" s="2" t="s">
        <v>86</v>
      </c>
      <c r="E479" s="18" t="s">
        <v>66</v>
      </c>
      <c r="F479" s="18" t="s">
        <v>100</v>
      </c>
      <c r="G479" s="19" t="s">
        <v>68</v>
      </c>
      <c r="H479" s="23" t="s">
        <v>101</v>
      </c>
      <c r="I479" s="71" t="s">
        <v>0</v>
      </c>
      <c r="J479" s="71" t="s">
        <v>9</v>
      </c>
      <c r="K479" s="71">
        <v>5</v>
      </c>
      <c r="L479" s="71">
        <v>20.079999999999998</v>
      </c>
      <c r="M479" s="25">
        <v>701.84</v>
      </c>
      <c r="N479" s="39">
        <f>Data[[#This Row],[Gross Wages]]/Data[[#This Row],[No. of Hours Worked]]</f>
        <v>34.952191235059765</v>
      </c>
    </row>
    <row r="480" spans="1:14" x14ac:dyDescent="0.3">
      <c r="A480" s="15" t="s">
        <v>52</v>
      </c>
      <c r="B480" s="1">
        <v>2025</v>
      </c>
      <c r="C480" s="10">
        <v>45717</v>
      </c>
      <c r="D480" s="2" t="s">
        <v>86</v>
      </c>
      <c r="E480" s="18" t="s">
        <v>66</v>
      </c>
      <c r="F480" s="18" t="s">
        <v>90</v>
      </c>
      <c r="G480" s="19" t="s">
        <v>68</v>
      </c>
      <c r="H480" s="23" t="s">
        <v>99</v>
      </c>
      <c r="I480" s="71" t="s">
        <v>0</v>
      </c>
      <c r="J480" s="71" t="s">
        <v>9</v>
      </c>
      <c r="K480" s="71">
        <v>6</v>
      </c>
      <c r="L480" s="71">
        <v>288</v>
      </c>
      <c r="M480" s="25">
        <v>16756.61</v>
      </c>
      <c r="N480" s="39">
        <f>Data[[#This Row],[Gross Wages]]/Data[[#This Row],[No. of Hours Worked]]</f>
        <v>58.182673611111113</v>
      </c>
    </row>
    <row r="481" spans="1:14" x14ac:dyDescent="0.3">
      <c r="A481" s="15" t="s">
        <v>123</v>
      </c>
      <c r="B481" s="1">
        <v>2025</v>
      </c>
      <c r="C481" s="10">
        <v>45717</v>
      </c>
      <c r="D481" s="34" t="s">
        <v>86</v>
      </c>
      <c r="E481" s="1" t="s">
        <v>66</v>
      </c>
      <c r="F481" s="1" t="s">
        <v>67</v>
      </c>
      <c r="G481" s="1" t="s">
        <v>68</v>
      </c>
      <c r="H481" s="2" t="s">
        <v>69</v>
      </c>
      <c r="I481" s="1" t="s">
        <v>111</v>
      </c>
      <c r="J481" s="1" t="s">
        <v>9</v>
      </c>
      <c r="K481" s="1">
        <v>1</v>
      </c>
      <c r="L481" s="1">
        <v>96</v>
      </c>
      <c r="M481" s="28">
        <v>3822.72</v>
      </c>
      <c r="N481" s="39">
        <f>Data[[#This Row],[Gross Wages]]/Data[[#This Row],[No. of Hours Worked]]</f>
        <v>39.82</v>
      </c>
    </row>
    <row r="482" spans="1:14" x14ac:dyDescent="0.3">
      <c r="A482" s="15" t="s">
        <v>123</v>
      </c>
      <c r="B482" s="1">
        <v>2025</v>
      </c>
      <c r="C482" s="10">
        <v>45717</v>
      </c>
      <c r="D482" s="34" t="s">
        <v>86</v>
      </c>
      <c r="E482" s="1" t="s">
        <v>66</v>
      </c>
      <c r="F482" s="1" t="s">
        <v>67</v>
      </c>
      <c r="G482" s="1" t="s">
        <v>68</v>
      </c>
      <c r="H482" s="2" t="s">
        <v>69</v>
      </c>
      <c r="I482" s="1" t="s">
        <v>2</v>
      </c>
      <c r="J482" s="1" t="s">
        <v>9</v>
      </c>
      <c r="K482" s="1">
        <v>1</v>
      </c>
      <c r="L482" s="1">
        <v>112</v>
      </c>
      <c r="M482" s="28">
        <v>4704</v>
      </c>
      <c r="N482" s="39">
        <f>Data[[#This Row],[Gross Wages]]/Data[[#This Row],[No. of Hours Worked]]</f>
        <v>42</v>
      </c>
    </row>
    <row r="483" spans="1:14" x14ac:dyDescent="0.3">
      <c r="A483" s="15" t="s">
        <v>123</v>
      </c>
      <c r="B483" s="1">
        <v>2025</v>
      </c>
      <c r="C483" s="10">
        <v>45717</v>
      </c>
      <c r="D483" s="34" t="s">
        <v>86</v>
      </c>
      <c r="E483" s="1" t="s">
        <v>66</v>
      </c>
      <c r="F483" s="1" t="s">
        <v>67</v>
      </c>
      <c r="G483" s="1" t="s">
        <v>68</v>
      </c>
      <c r="H483" s="2" t="s">
        <v>69</v>
      </c>
      <c r="I483" s="1" t="s">
        <v>0</v>
      </c>
      <c r="J483" s="1" t="s">
        <v>9</v>
      </c>
      <c r="K483" s="1">
        <v>2</v>
      </c>
      <c r="L483" s="1">
        <v>232</v>
      </c>
      <c r="M483" s="28">
        <v>8393.52</v>
      </c>
      <c r="N483" s="39">
        <f>Data[[#This Row],[Gross Wages]]/Data[[#This Row],[No. of Hours Worked]]</f>
        <v>36.17896551724138</v>
      </c>
    </row>
    <row r="484" spans="1:14" x14ac:dyDescent="0.3">
      <c r="A484" s="15" t="s">
        <v>144</v>
      </c>
      <c r="B484" s="1">
        <v>2025</v>
      </c>
      <c r="C484" s="10">
        <v>45717</v>
      </c>
      <c r="D484" s="34" t="s">
        <v>86</v>
      </c>
      <c r="E484" s="1" t="s">
        <v>66</v>
      </c>
      <c r="F484" s="1" t="s">
        <v>72</v>
      </c>
      <c r="G484" s="1" t="s">
        <v>73</v>
      </c>
      <c r="H484" s="2" t="s">
        <v>74</v>
      </c>
      <c r="I484" s="1" t="s">
        <v>0</v>
      </c>
      <c r="J484" s="1" t="s">
        <v>9</v>
      </c>
      <c r="K484" s="1">
        <v>1</v>
      </c>
      <c r="L484" s="1">
        <v>40</v>
      </c>
      <c r="M484" s="28">
        <v>1600</v>
      </c>
      <c r="N484" s="39">
        <f>Data[[#This Row],[Gross Wages]]/Data[[#This Row],[No. of Hours Worked]]</f>
        <v>40</v>
      </c>
    </row>
    <row r="485" spans="1:14" x14ac:dyDescent="0.3">
      <c r="A485" s="15" t="s">
        <v>132</v>
      </c>
      <c r="B485" s="17">
        <v>2025</v>
      </c>
      <c r="C485" s="10">
        <v>45717</v>
      </c>
      <c r="D485" s="42" t="s">
        <v>86</v>
      </c>
      <c r="E485" s="1" t="s">
        <v>66</v>
      </c>
      <c r="F485" s="1" t="s">
        <v>125</v>
      </c>
      <c r="G485" s="1" t="s">
        <v>68</v>
      </c>
      <c r="H485" s="2" t="s">
        <v>126</v>
      </c>
      <c r="I485" s="1" t="s">
        <v>2</v>
      </c>
      <c r="J485" s="1" t="s">
        <v>10</v>
      </c>
      <c r="K485" s="1">
        <v>1</v>
      </c>
      <c r="L485" s="1">
        <v>2</v>
      </c>
      <c r="M485" s="28">
        <v>64.260000000000005</v>
      </c>
      <c r="N485" s="39">
        <f>Data[[#This Row],[Gross Wages]]/Data[[#This Row],[No. of Hours Worked]]</f>
        <v>32.130000000000003</v>
      </c>
    </row>
    <row r="486" spans="1:14" x14ac:dyDescent="0.3">
      <c r="A486" s="15" t="s">
        <v>132</v>
      </c>
      <c r="B486" s="17">
        <v>2025</v>
      </c>
      <c r="C486" s="10">
        <v>45717</v>
      </c>
      <c r="D486" s="34" t="s">
        <v>86</v>
      </c>
      <c r="E486" s="1" t="s">
        <v>66</v>
      </c>
      <c r="F486" s="1" t="s">
        <v>125</v>
      </c>
      <c r="G486" s="1" t="s">
        <v>68</v>
      </c>
      <c r="H486" s="2" t="s">
        <v>126</v>
      </c>
      <c r="I486" s="1" t="s">
        <v>2</v>
      </c>
      <c r="J486" s="1" t="s">
        <v>9</v>
      </c>
      <c r="K486" s="1">
        <v>5</v>
      </c>
      <c r="L486" s="1">
        <v>137.5</v>
      </c>
      <c r="M486" s="28">
        <v>3765.74</v>
      </c>
      <c r="N486" s="39">
        <f>Data[[#This Row],[Gross Wages]]/Data[[#This Row],[No. of Hours Worked]]</f>
        <v>27.3872</v>
      </c>
    </row>
    <row r="487" spans="1:14" x14ac:dyDescent="0.3">
      <c r="A487" s="15" t="s">
        <v>132</v>
      </c>
      <c r="B487" s="17">
        <v>2025</v>
      </c>
      <c r="C487" s="10">
        <v>45717</v>
      </c>
      <c r="D487" s="34" t="s">
        <v>86</v>
      </c>
      <c r="E487" s="1" t="s">
        <v>66</v>
      </c>
      <c r="F487" s="1" t="s">
        <v>125</v>
      </c>
      <c r="G487" s="1" t="s">
        <v>68</v>
      </c>
      <c r="H487" s="2" t="s">
        <v>126</v>
      </c>
      <c r="I487" s="1" t="s">
        <v>0</v>
      </c>
      <c r="J487" s="1" t="s">
        <v>9</v>
      </c>
      <c r="K487" s="1">
        <v>12</v>
      </c>
      <c r="L487" s="1">
        <v>452</v>
      </c>
      <c r="M487" s="28">
        <v>14592.28</v>
      </c>
      <c r="N487" s="39">
        <f>Data[[#This Row],[Gross Wages]]/Data[[#This Row],[No. of Hours Worked]]</f>
        <v>32.283805309734518</v>
      </c>
    </row>
    <row r="488" spans="1:14" x14ac:dyDescent="0.3">
      <c r="A488" s="15" t="s">
        <v>132</v>
      </c>
      <c r="B488" s="17">
        <v>2025</v>
      </c>
      <c r="C488" s="10">
        <v>45717</v>
      </c>
      <c r="D488" s="34" t="s">
        <v>86</v>
      </c>
      <c r="E488" s="1" t="s">
        <v>66</v>
      </c>
      <c r="F488" s="1" t="s">
        <v>133</v>
      </c>
      <c r="G488" s="1" t="s">
        <v>68</v>
      </c>
      <c r="H488" s="2" t="s">
        <v>134</v>
      </c>
      <c r="I488" s="1" t="s">
        <v>0</v>
      </c>
      <c r="J488" s="1" t="s">
        <v>9</v>
      </c>
      <c r="K488" s="1">
        <v>6</v>
      </c>
      <c r="L488" s="1">
        <v>440</v>
      </c>
      <c r="M488" s="28">
        <v>16283.51</v>
      </c>
      <c r="N488" s="39">
        <f>Data[[#This Row],[Gross Wages]]/Data[[#This Row],[No. of Hours Worked]]</f>
        <v>37.007977272727274</v>
      </c>
    </row>
    <row r="489" spans="1:14" x14ac:dyDescent="0.3">
      <c r="A489" s="15" t="s">
        <v>40</v>
      </c>
      <c r="B489" s="17">
        <v>2025</v>
      </c>
      <c r="C489" s="10">
        <v>45748</v>
      </c>
      <c r="D489" s="34" t="s">
        <v>87</v>
      </c>
      <c r="E489" s="1" t="s">
        <v>66</v>
      </c>
      <c r="F489" s="1" t="s">
        <v>91</v>
      </c>
      <c r="G489" s="1" t="s">
        <v>68</v>
      </c>
      <c r="H489" s="2" t="s">
        <v>92</v>
      </c>
      <c r="I489" s="1" t="s">
        <v>0</v>
      </c>
      <c r="J489" s="1" t="s">
        <v>9</v>
      </c>
      <c r="K489" s="1">
        <v>1</v>
      </c>
      <c r="L489" s="1">
        <v>8</v>
      </c>
      <c r="M489" s="28">
        <v>277.2</v>
      </c>
      <c r="N489" s="39">
        <f>Data[[#This Row],[Gross Wages]]/Data[[#This Row],[No. of Hours Worked]]</f>
        <v>34.65</v>
      </c>
    </row>
    <row r="490" spans="1:14" x14ac:dyDescent="0.3">
      <c r="A490" s="15" t="s">
        <v>137</v>
      </c>
      <c r="B490" s="17">
        <v>2025</v>
      </c>
      <c r="C490" s="10">
        <v>45748</v>
      </c>
      <c r="D490" s="34" t="s">
        <v>87</v>
      </c>
      <c r="E490" s="1" t="s">
        <v>80</v>
      </c>
      <c r="F490" s="1" t="s">
        <v>138</v>
      </c>
      <c r="G490" s="1" t="s">
        <v>68</v>
      </c>
      <c r="H490" s="2" t="s">
        <v>139</v>
      </c>
      <c r="I490" s="1" t="s">
        <v>0</v>
      </c>
      <c r="J490" s="1" t="s">
        <v>9</v>
      </c>
      <c r="K490" s="1">
        <v>3</v>
      </c>
      <c r="L490" s="1">
        <v>390</v>
      </c>
      <c r="M490" s="28">
        <v>26514.55</v>
      </c>
      <c r="N490" s="39">
        <f>Data[[#This Row],[Gross Wages]]/Data[[#This Row],[No. of Hours Worked]]</f>
        <v>67.986025641025634</v>
      </c>
    </row>
    <row r="491" spans="1:14" x14ac:dyDescent="0.3">
      <c r="A491" s="15" t="s">
        <v>43</v>
      </c>
      <c r="B491" s="17">
        <v>2025</v>
      </c>
      <c r="C491" s="10">
        <v>45748</v>
      </c>
      <c r="D491" s="34" t="s">
        <v>87</v>
      </c>
      <c r="E491" s="1" t="s">
        <v>80</v>
      </c>
      <c r="F491" s="1" t="s">
        <v>88</v>
      </c>
      <c r="G491" s="1" t="s">
        <v>68</v>
      </c>
      <c r="H491" s="2" t="s">
        <v>89</v>
      </c>
      <c r="I491" s="1" t="s">
        <v>0</v>
      </c>
      <c r="J491" s="1" t="s">
        <v>9</v>
      </c>
      <c r="K491" s="1">
        <v>5</v>
      </c>
      <c r="L491" s="1">
        <v>738</v>
      </c>
      <c r="M491" s="16">
        <v>27264.74</v>
      </c>
      <c r="N491" s="39">
        <f>Data[[#This Row],[Gross Wages]]/Data[[#This Row],[No. of Hours Worked]]</f>
        <v>36.944092140921413</v>
      </c>
    </row>
    <row r="492" spans="1:14" x14ac:dyDescent="0.3">
      <c r="A492" s="15" t="s">
        <v>45</v>
      </c>
      <c r="B492" s="17">
        <v>2025</v>
      </c>
      <c r="C492" s="10">
        <v>45748</v>
      </c>
      <c r="D492" s="2" t="s">
        <v>87</v>
      </c>
      <c r="E492" s="18" t="s">
        <v>66</v>
      </c>
      <c r="F492" s="18" t="s">
        <v>67</v>
      </c>
      <c r="G492" s="19" t="s">
        <v>68</v>
      </c>
      <c r="H492" s="23" t="s">
        <v>69</v>
      </c>
      <c r="I492" s="71" t="s">
        <v>0</v>
      </c>
      <c r="J492" s="71" t="s">
        <v>10</v>
      </c>
      <c r="K492" s="71">
        <v>1</v>
      </c>
      <c r="L492" s="71">
        <v>200</v>
      </c>
      <c r="M492" s="29">
        <v>6766</v>
      </c>
      <c r="N492" s="39">
        <f>Data[[#This Row],[Gross Wages]]/Data[[#This Row],[No. of Hours Worked]]</f>
        <v>33.83</v>
      </c>
    </row>
    <row r="493" spans="1:14" x14ac:dyDescent="0.3">
      <c r="A493" s="15" t="s">
        <v>45</v>
      </c>
      <c r="B493" s="17">
        <v>2025</v>
      </c>
      <c r="C493" s="10">
        <v>45748</v>
      </c>
      <c r="D493" s="2" t="s">
        <v>87</v>
      </c>
      <c r="E493" s="18" t="s">
        <v>66</v>
      </c>
      <c r="F493" s="18" t="s">
        <v>67</v>
      </c>
      <c r="G493" s="19" t="s">
        <v>68</v>
      </c>
      <c r="H493" s="23" t="s">
        <v>69</v>
      </c>
      <c r="I493" s="71" t="s">
        <v>2</v>
      </c>
      <c r="J493" s="71" t="s">
        <v>10</v>
      </c>
      <c r="K493" s="71">
        <v>1</v>
      </c>
      <c r="L493" s="71">
        <v>184</v>
      </c>
      <c r="M493" s="29">
        <v>8300.24</v>
      </c>
      <c r="N493" s="39">
        <f>Data[[#This Row],[Gross Wages]]/Data[[#This Row],[No. of Hours Worked]]</f>
        <v>45.11</v>
      </c>
    </row>
    <row r="494" spans="1:14" x14ac:dyDescent="0.3">
      <c r="A494" s="15" t="s">
        <v>45</v>
      </c>
      <c r="B494" s="17">
        <v>2025</v>
      </c>
      <c r="C494" s="10">
        <v>45748</v>
      </c>
      <c r="D494" s="2" t="s">
        <v>87</v>
      </c>
      <c r="E494" s="18" t="s">
        <v>66</v>
      </c>
      <c r="F494" s="18" t="s">
        <v>67</v>
      </c>
      <c r="G494" s="19" t="s">
        <v>68</v>
      </c>
      <c r="H494" s="23" t="s">
        <v>69</v>
      </c>
      <c r="I494" s="71" t="s">
        <v>0</v>
      </c>
      <c r="J494" s="71" t="s">
        <v>9</v>
      </c>
      <c r="K494" s="71">
        <v>8</v>
      </c>
      <c r="L494" s="27">
        <v>1216</v>
      </c>
      <c r="M494" s="29">
        <v>55629.39</v>
      </c>
      <c r="N494" s="39">
        <f>Data[[#This Row],[Gross Wages]]/Data[[#This Row],[No. of Hours Worked]]</f>
        <v>45.747853618421054</v>
      </c>
    </row>
    <row r="495" spans="1:14" x14ac:dyDescent="0.3">
      <c r="A495" s="15" t="s">
        <v>46</v>
      </c>
      <c r="B495" s="17">
        <v>2025</v>
      </c>
      <c r="C495" s="10">
        <v>45748</v>
      </c>
      <c r="D495" s="34" t="s">
        <v>87</v>
      </c>
      <c r="E495" s="1" t="s">
        <v>66</v>
      </c>
      <c r="F495" s="1" t="s">
        <v>70</v>
      </c>
      <c r="G495" s="1" t="s">
        <v>68</v>
      </c>
      <c r="H495" s="2" t="s">
        <v>71</v>
      </c>
      <c r="I495" s="1" t="s">
        <v>0</v>
      </c>
      <c r="J495" s="1" t="s">
        <v>9</v>
      </c>
      <c r="K495" s="1">
        <v>1</v>
      </c>
      <c r="L495" s="1">
        <v>160</v>
      </c>
      <c r="M495" s="28">
        <v>8636.7999999999993</v>
      </c>
      <c r="N495" s="39">
        <f>Data[[#This Row],[Gross Wages]]/Data[[#This Row],[No. of Hours Worked]]</f>
        <v>53.98</v>
      </c>
    </row>
    <row r="496" spans="1:14" x14ac:dyDescent="0.3">
      <c r="A496" s="15" t="s">
        <v>143</v>
      </c>
      <c r="B496" s="17">
        <v>2025</v>
      </c>
      <c r="C496" s="10">
        <v>45748</v>
      </c>
      <c r="D496" s="34" t="s">
        <v>87</v>
      </c>
      <c r="E496" s="1" t="s">
        <v>80</v>
      </c>
      <c r="F496" s="1" t="s">
        <v>130</v>
      </c>
      <c r="G496" s="1" t="s">
        <v>68</v>
      </c>
      <c r="H496" s="2" t="s">
        <v>131</v>
      </c>
      <c r="I496" s="1" t="s">
        <v>0</v>
      </c>
      <c r="J496" s="1" t="s">
        <v>9</v>
      </c>
      <c r="K496" s="1">
        <v>1</v>
      </c>
      <c r="L496" s="1">
        <v>19</v>
      </c>
      <c r="M496" s="50">
        <v>590.9</v>
      </c>
      <c r="N496" s="39">
        <f>Data[[#This Row],[Gross Wages]]/Data[[#This Row],[No. of Hours Worked]]</f>
        <v>31.099999999999998</v>
      </c>
    </row>
    <row r="497" spans="1:14" x14ac:dyDescent="0.3">
      <c r="A497" s="15" t="s">
        <v>140</v>
      </c>
      <c r="B497" s="17">
        <v>2025</v>
      </c>
      <c r="C497" s="10">
        <v>45748</v>
      </c>
      <c r="D497" s="34" t="s">
        <v>87</v>
      </c>
      <c r="E497" s="1" t="s">
        <v>66</v>
      </c>
      <c r="F497" s="1" t="s">
        <v>72</v>
      </c>
      <c r="G497" s="1" t="s">
        <v>73</v>
      </c>
      <c r="H497" s="2" t="s">
        <v>74</v>
      </c>
      <c r="I497" s="1" t="s">
        <v>0</v>
      </c>
      <c r="J497" s="1" t="s">
        <v>9</v>
      </c>
      <c r="K497" s="1">
        <v>2</v>
      </c>
      <c r="L497" s="1">
        <v>46</v>
      </c>
      <c r="M497" s="28">
        <v>1219</v>
      </c>
      <c r="N497" s="39">
        <f>Data[[#This Row],[Gross Wages]]/Data[[#This Row],[No. of Hours Worked]]</f>
        <v>26.5</v>
      </c>
    </row>
    <row r="498" spans="1:14" x14ac:dyDescent="0.3">
      <c r="A498" s="15" t="s">
        <v>140</v>
      </c>
      <c r="B498" s="17">
        <v>2025</v>
      </c>
      <c r="C498" s="10">
        <v>45748</v>
      </c>
      <c r="D498" s="34" t="s">
        <v>87</v>
      </c>
      <c r="E498" s="1" t="s">
        <v>66</v>
      </c>
      <c r="F498" s="1" t="s">
        <v>141</v>
      </c>
      <c r="G498" s="1" t="s">
        <v>68</v>
      </c>
      <c r="H498" s="2" t="s">
        <v>142</v>
      </c>
      <c r="I498" s="1" t="s">
        <v>0</v>
      </c>
      <c r="J498" s="1" t="s">
        <v>9</v>
      </c>
      <c r="K498" s="1">
        <v>2</v>
      </c>
      <c r="L498" s="1">
        <v>181</v>
      </c>
      <c r="M498" s="28">
        <v>5509.28</v>
      </c>
      <c r="N498" s="39">
        <f>Data[[#This Row],[Gross Wages]]/Data[[#This Row],[No. of Hours Worked]]</f>
        <v>30.438011049723755</v>
      </c>
    </row>
    <row r="499" spans="1:14" x14ac:dyDescent="0.3">
      <c r="A499" s="15" t="s">
        <v>140</v>
      </c>
      <c r="B499" s="17">
        <v>2025</v>
      </c>
      <c r="C499" s="10">
        <v>45748</v>
      </c>
      <c r="D499" s="34" t="s">
        <v>87</v>
      </c>
      <c r="E499" s="1" t="s">
        <v>66</v>
      </c>
      <c r="F499" s="1" t="s">
        <v>70</v>
      </c>
      <c r="G499" s="1" t="s">
        <v>68</v>
      </c>
      <c r="H499" s="2" t="s">
        <v>71</v>
      </c>
      <c r="I499" s="1" t="s">
        <v>0</v>
      </c>
      <c r="J499" s="1" t="s">
        <v>9</v>
      </c>
      <c r="K499" s="1">
        <v>11</v>
      </c>
      <c r="L499" s="1">
        <v>1398</v>
      </c>
      <c r="M499" s="28">
        <v>41475.53</v>
      </c>
      <c r="N499" s="39">
        <f>Data[[#This Row],[Gross Wages]]/Data[[#This Row],[No. of Hours Worked]]</f>
        <v>29.667761087267525</v>
      </c>
    </row>
    <row r="500" spans="1:14" x14ac:dyDescent="0.3">
      <c r="A500" s="15" t="s">
        <v>106</v>
      </c>
      <c r="B500" s="17">
        <v>2025</v>
      </c>
      <c r="C500" s="10">
        <v>45748</v>
      </c>
      <c r="D500" s="34" t="s">
        <v>87</v>
      </c>
      <c r="E500" s="1" t="s">
        <v>66</v>
      </c>
      <c r="F500" s="1" t="s">
        <v>90</v>
      </c>
      <c r="G500" s="1" t="s">
        <v>68</v>
      </c>
      <c r="H500" s="2" t="s">
        <v>99</v>
      </c>
      <c r="I500" s="1" t="s">
        <v>0</v>
      </c>
      <c r="J500" s="1" t="s">
        <v>9</v>
      </c>
      <c r="K500" s="1">
        <v>2</v>
      </c>
      <c r="L500" s="1">
        <v>130</v>
      </c>
      <c r="M500" s="28">
        <v>5543.75</v>
      </c>
      <c r="N500" s="39">
        <f>Data[[#This Row],[Gross Wages]]/Data[[#This Row],[No. of Hours Worked]]</f>
        <v>42.644230769230766</v>
      </c>
    </row>
    <row r="501" spans="1:14" x14ac:dyDescent="0.3">
      <c r="A501" s="15" t="s">
        <v>112</v>
      </c>
      <c r="B501" s="17">
        <v>2025</v>
      </c>
      <c r="C501" s="10">
        <v>45748</v>
      </c>
      <c r="D501" s="34" t="s">
        <v>87</v>
      </c>
      <c r="E501" s="1" t="s">
        <v>66</v>
      </c>
      <c r="F501" s="1" t="s">
        <v>109</v>
      </c>
      <c r="G501" s="1" t="s">
        <v>68</v>
      </c>
      <c r="H501" s="2" t="s">
        <v>110</v>
      </c>
      <c r="I501" s="1" t="s">
        <v>0</v>
      </c>
      <c r="J501" s="1" t="s">
        <v>9</v>
      </c>
      <c r="K501" s="1">
        <v>4</v>
      </c>
      <c r="L501" s="1">
        <v>110</v>
      </c>
      <c r="M501" s="28">
        <v>3047.31</v>
      </c>
      <c r="N501" s="39">
        <f>Data[[#This Row],[Gross Wages]]/Data[[#This Row],[No. of Hours Worked]]</f>
        <v>27.702818181818181</v>
      </c>
    </row>
    <row r="502" spans="1:14" x14ac:dyDescent="0.3">
      <c r="A502" s="15" t="s">
        <v>128</v>
      </c>
      <c r="B502" s="17">
        <v>2025</v>
      </c>
      <c r="C502" s="10">
        <v>45748</v>
      </c>
      <c r="D502" s="34" t="s">
        <v>87</v>
      </c>
      <c r="E502" s="1" t="s">
        <v>66</v>
      </c>
      <c r="F502" s="1" t="s">
        <v>97</v>
      </c>
      <c r="G502" s="1" t="s">
        <v>68</v>
      </c>
      <c r="H502" s="2" t="s">
        <v>98</v>
      </c>
      <c r="I502" s="1" t="s">
        <v>0</v>
      </c>
      <c r="J502" s="1" t="s">
        <v>9</v>
      </c>
      <c r="K502" s="1">
        <v>8</v>
      </c>
      <c r="L502" s="1">
        <v>681</v>
      </c>
      <c r="M502" s="28">
        <v>23757.65</v>
      </c>
      <c r="N502" s="39">
        <f>Data[[#This Row],[Gross Wages]]/Data[[#This Row],[No. of Hours Worked]]</f>
        <v>34.886417033773867</v>
      </c>
    </row>
    <row r="503" spans="1:14" x14ac:dyDescent="0.3">
      <c r="A503" s="15" t="s">
        <v>48</v>
      </c>
      <c r="B503" s="1">
        <v>2025</v>
      </c>
      <c r="C503" s="10">
        <v>45748</v>
      </c>
      <c r="D503" s="34" t="s">
        <v>87</v>
      </c>
      <c r="E503" s="1" t="s">
        <v>66</v>
      </c>
      <c r="F503" s="1" t="s">
        <v>84</v>
      </c>
      <c r="G503" s="1" t="s">
        <v>68</v>
      </c>
      <c r="H503" s="2" t="s">
        <v>85</v>
      </c>
      <c r="I503" s="1" t="s">
        <v>0</v>
      </c>
      <c r="J503" s="1" t="s">
        <v>9</v>
      </c>
      <c r="K503" s="1">
        <v>13</v>
      </c>
      <c r="L503" s="1">
        <v>1359</v>
      </c>
      <c r="M503" s="28">
        <v>56797.39</v>
      </c>
      <c r="N503" s="39">
        <f>Data[[#This Row],[Gross Wages]]/Data[[#This Row],[No. of Hours Worked]]</f>
        <v>41.793517292126566</v>
      </c>
    </row>
    <row r="504" spans="1:14" x14ac:dyDescent="0.3">
      <c r="A504" s="15" t="s">
        <v>49</v>
      </c>
      <c r="B504" s="1">
        <v>2025</v>
      </c>
      <c r="C504" s="10">
        <v>45748</v>
      </c>
      <c r="D504" s="34" t="s">
        <v>87</v>
      </c>
      <c r="E504" s="1" t="s">
        <v>66</v>
      </c>
      <c r="F504" s="1" t="s">
        <v>67</v>
      </c>
      <c r="G504" s="1" t="s">
        <v>68</v>
      </c>
      <c r="H504" s="2" t="s">
        <v>69</v>
      </c>
      <c r="I504" s="1" t="s">
        <v>0</v>
      </c>
      <c r="J504" s="1" t="s">
        <v>9</v>
      </c>
      <c r="K504" s="1">
        <v>4</v>
      </c>
      <c r="L504" s="1">
        <v>394.5</v>
      </c>
      <c r="M504" s="28">
        <v>28467.119999999999</v>
      </c>
      <c r="N504" s="39">
        <f>Data[[#This Row],[Gross Wages]]/Data[[#This Row],[No. of Hours Worked]]</f>
        <v>72.16</v>
      </c>
    </row>
    <row r="505" spans="1:14" x14ac:dyDescent="0.3">
      <c r="A505" s="15" t="s">
        <v>52</v>
      </c>
      <c r="B505" s="1">
        <v>2025</v>
      </c>
      <c r="C505" s="10">
        <v>45748</v>
      </c>
      <c r="D505" s="34" t="s">
        <v>87</v>
      </c>
      <c r="E505" s="1" t="s">
        <v>66</v>
      </c>
      <c r="F505" s="1" t="s">
        <v>90</v>
      </c>
      <c r="G505" s="1" t="s">
        <v>68</v>
      </c>
      <c r="H505" s="2" t="s">
        <v>99</v>
      </c>
      <c r="I505" s="1" t="s">
        <v>1</v>
      </c>
      <c r="J505" s="1" t="s">
        <v>9</v>
      </c>
      <c r="K505" s="1">
        <v>1</v>
      </c>
      <c r="L505" s="1">
        <v>8</v>
      </c>
      <c r="M505" s="16">
        <v>442.24</v>
      </c>
      <c r="N505" s="39">
        <f>Data[[#This Row],[Gross Wages]]/Data[[#This Row],[No. of Hours Worked]]</f>
        <v>55.28</v>
      </c>
    </row>
    <row r="506" spans="1:14" x14ac:dyDescent="0.3">
      <c r="A506" s="15" t="s">
        <v>52</v>
      </c>
      <c r="B506" s="1">
        <v>2025</v>
      </c>
      <c r="C506" s="10">
        <v>45748</v>
      </c>
      <c r="D506" s="34" t="s">
        <v>87</v>
      </c>
      <c r="E506" s="1" t="s">
        <v>66</v>
      </c>
      <c r="F506" s="1" t="s">
        <v>90</v>
      </c>
      <c r="G506" s="1" t="s">
        <v>68</v>
      </c>
      <c r="H506" s="2" t="s">
        <v>99</v>
      </c>
      <c r="I506" s="1" t="s">
        <v>0</v>
      </c>
      <c r="J506" s="1" t="s">
        <v>9</v>
      </c>
      <c r="K506" s="1">
        <v>4</v>
      </c>
      <c r="L506" s="1">
        <v>272</v>
      </c>
      <c r="M506" s="16">
        <v>16039.23</v>
      </c>
      <c r="N506" s="39">
        <f>Data[[#This Row],[Gross Wages]]/Data[[#This Row],[No. of Hours Worked]]</f>
        <v>58.967757352941177</v>
      </c>
    </row>
    <row r="507" spans="1:14" x14ac:dyDescent="0.3">
      <c r="A507" s="15" t="s">
        <v>156</v>
      </c>
      <c r="B507" s="1">
        <v>2025</v>
      </c>
      <c r="C507" s="10">
        <v>45748</v>
      </c>
      <c r="D507" s="34" t="s">
        <v>87</v>
      </c>
      <c r="E507" s="1" t="s">
        <v>66</v>
      </c>
      <c r="F507" s="1" t="s">
        <v>70</v>
      </c>
      <c r="G507" s="1" t="s">
        <v>68</v>
      </c>
      <c r="H507" s="2" t="s">
        <v>71</v>
      </c>
      <c r="I507" s="1" t="s">
        <v>0</v>
      </c>
      <c r="J507" s="1" t="s">
        <v>9</v>
      </c>
      <c r="K507" s="1">
        <v>3</v>
      </c>
      <c r="L507" s="1">
        <v>24</v>
      </c>
      <c r="M507" s="28">
        <v>3470.88</v>
      </c>
      <c r="N507" s="39">
        <f>Data[[#This Row],[Gross Wages]]/Data[[#This Row],[No. of Hours Worked]]</f>
        <v>144.62</v>
      </c>
    </row>
    <row r="508" spans="1:14" x14ac:dyDescent="0.3">
      <c r="A508" s="15" t="s">
        <v>123</v>
      </c>
      <c r="B508" s="1">
        <v>2025</v>
      </c>
      <c r="C508" s="10">
        <v>45748</v>
      </c>
      <c r="D508" s="34" t="s">
        <v>87</v>
      </c>
      <c r="E508" s="1" t="s">
        <v>80</v>
      </c>
      <c r="F508" s="1" t="s">
        <v>151</v>
      </c>
      <c r="G508" s="1" t="s">
        <v>68</v>
      </c>
      <c r="H508" s="2" t="s">
        <v>152</v>
      </c>
      <c r="I508" s="1" t="s">
        <v>0</v>
      </c>
      <c r="J508" s="1" t="s">
        <v>9</v>
      </c>
      <c r="K508" s="1">
        <v>2</v>
      </c>
      <c r="L508" s="1">
        <v>384</v>
      </c>
      <c r="M508" s="28">
        <v>14780.96</v>
      </c>
      <c r="N508" s="39">
        <f>Data[[#This Row],[Gross Wages]]/Data[[#This Row],[No. of Hours Worked]]</f>
        <v>38.492083333333333</v>
      </c>
    </row>
    <row r="509" spans="1:14" x14ac:dyDescent="0.3">
      <c r="A509" s="15" t="s">
        <v>123</v>
      </c>
      <c r="B509" s="1">
        <v>2025</v>
      </c>
      <c r="C509" s="10">
        <v>45748</v>
      </c>
      <c r="D509" s="34" t="s">
        <v>87</v>
      </c>
      <c r="E509" s="1" t="s">
        <v>80</v>
      </c>
      <c r="F509" s="1" t="s">
        <v>151</v>
      </c>
      <c r="G509" s="1" t="s">
        <v>68</v>
      </c>
      <c r="H509" s="2" t="s">
        <v>152</v>
      </c>
      <c r="I509" s="1" t="s">
        <v>2</v>
      </c>
      <c r="J509" s="1" t="s">
        <v>9</v>
      </c>
      <c r="K509" s="1">
        <v>1</v>
      </c>
      <c r="L509" s="1">
        <v>191</v>
      </c>
      <c r="M509" s="28">
        <v>8459.58</v>
      </c>
      <c r="N509" s="39">
        <f>Data[[#This Row],[Gross Wages]]/Data[[#This Row],[No. of Hours Worked]]</f>
        <v>44.290994764397908</v>
      </c>
    </row>
    <row r="510" spans="1:14" x14ac:dyDescent="0.3">
      <c r="A510" s="15" t="s">
        <v>123</v>
      </c>
      <c r="B510" s="1">
        <v>2025</v>
      </c>
      <c r="C510" s="10">
        <v>45748</v>
      </c>
      <c r="D510" s="34" t="s">
        <v>87</v>
      </c>
      <c r="E510" s="1" t="s">
        <v>80</v>
      </c>
      <c r="F510" s="1" t="s">
        <v>151</v>
      </c>
      <c r="G510" s="1" t="s">
        <v>68</v>
      </c>
      <c r="H510" s="2" t="s">
        <v>152</v>
      </c>
      <c r="I510" s="1" t="s">
        <v>111</v>
      </c>
      <c r="J510" s="1" t="s">
        <v>9</v>
      </c>
      <c r="K510" s="1">
        <v>1</v>
      </c>
      <c r="L510" s="1">
        <v>176</v>
      </c>
      <c r="M510" s="28">
        <v>7481.6</v>
      </c>
      <c r="N510" s="39">
        <f>Data[[#This Row],[Gross Wages]]/Data[[#This Row],[No. of Hours Worked]]</f>
        <v>42.509090909090908</v>
      </c>
    </row>
    <row r="511" spans="1:14" x14ac:dyDescent="0.3">
      <c r="A511" s="15" t="s">
        <v>132</v>
      </c>
      <c r="B511" s="1">
        <v>2025</v>
      </c>
      <c r="C511" s="10">
        <v>45748</v>
      </c>
      <c r="D511" s="34" t="s">
        <v>87</v>
      </c>
      <c r="E511" s="1" t="s">
        <v>66</v>
      </c>
      <c r="F511" s="1" t="s">
        <v>125</v>
      </c>
      <c r="G511" s="1" t="s">
        <v>68</v>
      </c>
      <c r="H511" s="2" t="s">
        <v>126</v>
      </c>
      <c r="I511" s="1" t="s">
        <v>2</v>
      </c>
      <c r="J511" s="1" t="s">
        <v>9</v>
      </c>
      <c r="K511" s="1">
        <v>3</v>
      </c>
      <c r="L511" s="1">
        <v>212.5</v>
      </c>
      <c r="M511" s="28">
        <v>5676.7</v>
      </c>
      <c r="N511" s="39">
        <f>Data[[#This Row],[Gross Wages]]/Data[[#This Row],[No. of Hours Worked]]</f>
        <v>26.713882352941177</v>
      </c>
    </row>
    <row r="512" spans="1:14" x14ac:dyDescent="0.3">
      <c r="A512" s="15" t="s">
        <v>132</v>
      </c>
      <c r="B512" s="1">
        <v>2025</v>
      </c>
      <c r="C512" s="10">
        <v>45748</v>
      </c>
      <c r="D512" s="34" t="s">
        <v>87</v>
      </c>
      <c r="E512" s="1" t="s">
        <v>66</v>
      </c>
      <c r="F512" s="1" t="s">
        <v>125</v>
      </c>
      <c r="G512" s="1" t="s">
        <v>68</v>
      </c>
      <c r="H512" s="2" t="s">
        <v>126</v>
      </c>
      <c r="I512" s="1" t="s">
        <v>0</v>
      </c>
      <c r="J512" s="1" t="s">
        <v>9</v>
      </c>
      <c r="K512" s="1">
        <v>7</v>
      </c>
      <c r="L512" s="1">
        <v>468.5</v>
      </c>
      <c r="M512" s="28">
        <v>15298.5</v>
      </c>
      <c r="N512" s="39">
        <f>Data[[#This Row],[Gross Wages]]/Data[[#This Row],[No. of Hours Worked]]</f>
        <v>32.654215581643541</v>
      </c>
    </row>
    <row r="513" spans="1:14" x14ac:dyDescent="0.3">
      <c r="A513" s="15" t="s">
        <v>132</v>
      </c>
      <c r="B513" s="1">
        <v>2025</v>
      </c>
      <c r="C513" s="10">
        <v>45748</v>
      </c>
      <c r="D513" s="34" t="s">
        <v>87</v>
      </c>
      <c r="E513" s="1" t="s">
        <v>66</v>
      </c>
      <c r="F513" s="1" t="s">
        <v>133</v>
      </c>
      <c r="G513" s="1" t="s">
        <v>68</v>
      </c>
      <c r="H513" s="2" t="s">
        <v>134</v>
      </c>
      <c r="I513" s="1" t="s">
        <v>0</v>
      </c>
      <c r="J513" s="1" t="s">
        <v>9</v>
      </c>
      <c r="K513" s="1">
        <v>7</v>
      </c>
      <c r="L513" s="1">
        <v>780</v>
      </c>
      <c r="M513" s="28">
        <v>28547.1</v>
      </c>
      <c r="N513" s="39">
        <f>Data[[#This Row],[Gross Wages]]/Data[[#This Row],[No. of Hours Worked]]</f>
        <v>36.598846153846154</v>
      </c>
    </row>
    <row r="514" spans="1:14" x14ac:dyDescent="0.3">
      <c r="A514" s="15" t="s">
        <v>40</v>
      </c>
      <c r="B514" s="1">
        <v>2025</v>
      </c>
      <c r="C514" s="10">
        <v>45778</v>
      </c>
      <c r="D514" s="34" t="s">
        <v>87</v>
      </c>
      <c r="E514" s="1" t="s">
        <v>66</v>
      </c>
      <c r="F514" s="1" t="s">
        <v>91</v>
      </c>
      <c r="G514" s="1" t="s">
        <v>68</v>
      </c>
      <c r="H514" s="2" t="s">
        <v>92</v>
      </c>
      <c r="I514" s="1" t="s">
        <v>0</v>
      </c>
      <c r="J514" s="1" t="s">
        <v>9</v>
      </c>
      <c r="K514" s="1">
        <v>2</v>
      </c>
      <c r="L514" s="1">
        <v>24</v>
      </c>
      <c r="M514" s="16">
        <v>1009.44</v>
      </c>
      <c r="N514" s="39">
        <f>Data[[#This Row],[Gross Wages]]/Data[[#This Row],[No. of Hours Worked]]</f>
        <v>42.06</v>
      </c>
    </row>
    <row r="515" spans="1:14" x14ac:dyDescent="0.3">
      <c r="A515" s="15" t="s">
        <v>137</v>
      </c>
      <c r="B515" s="1">
        <v>2025</v>
      </c>
      <c r="C515" s="10">
        <v>45778</v>
      </c>
      <c r="D515" s="34" t="s">
        <v>87</v>
      </c>
      <c r="E515" s="1" t="s">
        <v>80</v>
      </c>
      <c r="F515" s="1" t="s">
        <v>138</v>
      </c>
      <c r="G515" s="1" t="s">
        <v>68</v>
      </c>
      <c r="H515" s="2" t="s">
        <v>139</v>
      </c>
      <c r="I515" s="1" t="s">
        <v>0</v>
      </c>
      <c r="J515" s="1" t="s">
        <v>9</v>
      </c>
      <c r="K515" s="1">
        <v>2</v>
      </c>
      <c r="L515" s="1">
        <v>215.25</v>
      </c>
      <c r="M515" s="28">
        <v>14569.71</v>
      </c>
      <c r="N515" s="39">
        <f>Data[[#This Row],[Gross Wages]]/Data[[#This Row],[No. of Hours Worked]]</f>
        <v>67.687386759581884</v>
      </c>
    </row>
    <row r="516" spans="1:14" x14ac:dyDescent="0.3">
      <c r="A516" s="15" t="s">
        <v>43</v>
      </c>
      <c r="B516" s="1">
        <v>2025</v>
      </c>
      <c r="C516" s="10">
        <v>45778</v>
      </c>
      <c r="D516" s="34" t="s">
        <v>87</v>
      </c>
      <c r="E516" s="1" t="s">
        <v>80</v>
      </c>
      <c r="F516" s="1" t="s">
        <v>88</v>
      </c>
      <c r="G516" s="1" t="s">
        <v>68</v>
      </c>
      <c r="H516" s="2" t="s">
        <v>89</v>
      </c>
      <c r="I516" s="1" t="s">
        <v>0</v>
      </c>
      <c r="J516" s="1" t="s">
        <v>9</v>
      </c>
      <c r="K516" s="1">
        <v>4</v>
      </c>
      <c r="L516" s="1">
        <v>512</v>
      </c>
      <c r="M516" s="28">
        <v>20467.66</v>
      </c>
      <c r="N516" s="39">
        <f>Data[[#This Row],[Gross Wages]]/Data[[#This Row],[No. of Hours Worked]]</f>
        <v>39.9758984375</v>
      </c>
    </row>
    <row r="517" spans="1:14" x14ac:dyDescent="0.3">
      <c r="A517" s="15" t="s">
        <v>45</v>
      </c>
      <c r="B517" s="1">
        <v>2025</v>
      </c>
      <c r="C517" s="10">
        <v>45778</v>
      </c>
      <c r="D517" s="2" t="s">
        <v>87</v>
      </c>
      <c r="E517" s="18" t="s">
        <v>66</v>
      </c>
      <c r="F517" s="18" t="s">
        <v>67</v>
      </c>
      <c r="G517" s="19" t="s">
        <v>68</v>
      </c>
      <c r="H517" s="23" t="s">
        <v>69</v>
      </c>
      <c r="I517" s="71" t="s">
        <v>0</v>
      </c>
      <c r="J517" s="71" t="s">
        <v>10</v>
      </c>
      <c r="K517" s="71">
        <v>1</v>
      </c>
      <c r="L517" s="71">
        <v>152</v>
      </c>
      <c r="M517" s="29">
        <v>5502.4</v>
      </c>
      <c r="N517" s="39">
        <f>Data[[#This Row],[Gross Wages]]/Data[[#This Row],[No. of Hours Worked]]</f>
        <v>36.199999999999996</v>
      </c>
    </row>
    <row r="518" spans="1:14" x14ac:dyDescent="0.3">
      <c r="A518" s="15" t="s">
        <v>45</v>
      </c>
      <c r="B518" s="1">
        <v>2025</v>
      </c>
      <c r="C518" s="10">
        <v>45778</v>
      </c>
      <c r="D518" s="2" t="s">
        <v>87</v>
      </c>
      <c r="E518" s="18" t="s">
        <v>66</v>
      </c>
      <c r="F518" s="18" t="s">
        <v>67</v>
      </c>
      <c r="G518" s="19" t="s">
        <v>68</v>
      </c>
      <c r="H518" s="23" t="s">
        <v>69</v>
      </c>
      <c r="I518" s="71" t="s">
        <v>2</v>
      </c>
      <c r="J518" s="71" t="s">
        <v>10</v>
      </c>
      <c r="K518" s="71">
        <v>1</v>
      </c>
      <c r="L518" s="71">
        <v>152</v>
      </c>
      <c r="M518" s="29">
        <v>7335.52</v>
      </c>
      <c r="N518" s="39">
        <f>Data[[#This Row],[Gross Wages]]/Data[[#This Row],[No. of Hours Worked]]</f>
        <v>48.260000000000005</v>
      </c>
    </row>
    <row r="519" spans="1:14" x14ac:dyDescent="0.3">
      <c r="A519" s="15" t="s">
        <v>45</v>
      </c>
      <c r="B519" s="1">
        <v>2025</v>
      </c>
      <c r="C519" s="10">
        <v>45778</v>
      </c>
      <c r="D519" s="2" t="s">
        <v>87</v>
      </c>
      <c r="E519" s="18" t="s">
        <v>66</v>
      </c>
      <c r="F519" s="18" t="s">
        <v>67</v>
      </c>
      <c r="G519" s="19" t="s">
        <v>68</v>
      </c>
      <c r="H519" s="23" t="s">
        <v>69</v>
      </c>
      <c r="I519" s="71" t="s">
        <v>0</v>
      </c>
      <c r="J519" s="71" t="s">
        <v>9</v>
      </c>
      <c r="K519" s="71">
        <v>8</v>
      </c>
      <c r="L519" s="71">
        <v>950</v>
      </c>
      <c r="M519" s="29">
        <v>47695.31</v>
      </c>
      <c r="N519" s="39">
        <f>Data[[#This Row],[Gross Wages]]/Data[[#This Row],[No. of Hours Worked]]</f>
        <v>50.205589473684206</v>
      </c>
    </row>
    <row r="520" spans="1:14" x14ac:dyDescent="0.3">
      <c r="A520" s="15" t="s">
        <v>46</v>
      </c>
      <c r="B520" s="1">
        <v>2025</v>
      </c>
      <c r="C520" s="10">
        <v>45778</v>
      </c>
      <c r="D520" s="34" t="s">
        <v>87</v>
      </c>
      <c r="E520" s="1" t="s">
        <v>66</v>
      </c>
      <c r="F520" s="1" t="s">
        <v>70</v>
      </c>
      <c r="G520" s="1" t="s">
        <v>68</v>
      </c>
      <c r="H520" s="2" t="s">
        <v>71</v>
      </c>
      <c r="I520" s="1" t="s">
        <v>0</v>
      </c>
      <c r="J520" s="1" t="s">
        <v>9</v>
      </c>
      <c r="K520" s="1">
        <v>1</v>
      </c>
      <c r="L520" s="1">
        <v>144</v>
      </c>
      <c r="M520" s="28">
        <v>7773.12</v>
      </c>
      <c r="N520" s="39">
        <f>Data[[#This Row],[Gross Wages]]/Data[[#This Row],[No. of Hours Worked]]</f>
        <v>53.98</v>
      </c>
    </row>
    <row r="521" spans="1:14" x14ac:dyDescent="0.3">
      <c r="A521" s="15" t="s">
        <v>127</v>
      </c>
      <c r="B521" s="1">
        <v>2025</v>
      </c>
      <c r="C521" s="10">
        <v>45778</v>
      </c>
      <c r="D521" s="34" t="s">
        <v>87</v>
      </c>
      <c r="E521" s="1" t="s">
        <v>66</v>
      </c>
      <c r="F521" s="1" t="s">
        <v>93</v>
      </c>
      <c r="G521" s="1" t="s">
        <v>68</v>
      </c>
      <c r="H521" s="2" t="s">
        <v>94</v>
      </c>
      <c r="I521" s="1" t="s">
        <v>0</v>
      </c>
      <c r="J521" s="1" t="s">
        <v>9</v>
      </c>
      <c r="K521" s="1">
        <v>2</v>
      </c>
      <c r="L521" s="1">
        <v>12</v>
      </c>
      <c r="M521" s="28">
        <v>404.16</v>
      </c>
      <c r="N521" s="39">
        <f>Data[[#This Row],[Gross Wages]]/Data[[#This Row],[No. of Hours Worked]]</f>
        <v>33.68</v>
      </c>
    </row>
    <row r="522" spans="1:14" x14ac:dyDescent="0.3">
      <c r="A522" s="15" t="s">
        <v>127</v>
      </c>
      <c r="B522" s="1">
        <v>2025</v>
      </c>
      <c r="C522" s="10">
        <v>45778</v>
      </c>
      <c r="D522" s="34" t="s">
        <v>87</v>
      </c>
      <c r="E522" s="1" t="s">
        <v>66</v>
      </c>
      <c r="F522" s="1" t="s">
        <v>93</v>
      </c>
      <c r="G522" s="1" t="s">
        <v>68</v>
      </c>
      <c r="H522" s="2" t="s">
        <v>94</v>
      </c>
      <c r="I522" s="1" t="s">
        <v>1</v>
      </c>
      <c r="J522" s="1" t="s">
        <v>9</v>
      </c>
      <c r="K522" s="1">
        <v>1</v>
      </c>
      <c r="L522" s="1">
        <v>43</v>
      </c>
      <c r="M522" s="28">
        <v>1448.24</v>
      </c>
      <c r="N522" s="39">
        <f>Data[[#This Row],[Gross Wages]]/Data[[#This Row],[No. of Hours Worked]]</f>
        <v>33.68</v>
      </c>
    </row>
    <row r="523" spans="1:14" x14ac:dyDescent="0.3">
      <c r="A523" s="15" t="s">
        <v>140</v>
      </c>
      <c r="B523" s="1">
        <v>2025</v>
      </c>
      <c r="C523" s="10">
        <v>45778</v>
      </c>
      <c r="D523" s="34" t="s">
        <v>87</v>
      </c>
      <c r="E523" s="1" t="s">
        <v>66</v>
      </c>
      <c r="F523" s="1" t="s">
        <v>70</v>
      </c>
      <c r="G523" s="1" t="s">
        <v>68</v>
      </c>
      <c r="H523" s="2" t="s">
        <v>71</v>
      </c>
      <c r="I523" s="1" t="s">
        <v>0</v>
      </c>
      <c r="J523" s="1" t="s">
        <v>9</v>
      </c>
      <c r="K523" s="1">
        <v>12</v>
      </c>
      <c r="L523" s="1">
        <v>1372</v>
      </c>
      <c r="M523" s="28">
        <v>40192.83</v>
      </c>
      <c r="N523" s="39">
        <f>Data[[#This Row],[Gross Wages]]/Data[[#This Row],[No. of Hours Worked]]</f>
        <v>29.295065597667641</v>
      </c>
    </row>
    <row r="524" spans="1:14" x14ac:dyDescent="0.3">
      <c r="A524" s="15" t="s">
        <v>140</v>
      </c>
      <c r="B524" s="1">
        <v>2025</v>
      </c>
      <c r="C524" s="10">
        <v>45778</v>
      </c>
      <c r="D524" s="34" t="s">
        <v>87</v>
      </c>
      <c r="E524" s="1" t="s">
        <v>66</v>
      </c>
      <c r="F524" s="1" t="s">
        <v>72</v>
      </c>
      <c r="G524" s="1" t="s">
        <v>73</v>
      </c>
      <c r="H524" s="2" t="s">
        <v>74</v>
      </c>
      <c r="I524" s="1" t="s">
        <v>0</v>
      </c>
      <c r="J524" s="1" t="s">
        <v>9</v>
      </c>
      <c r="K524" s="1">
        <v>2</v>
      </c>
      <c r="L524" s="1">
        <v>64.5</v>
      </c>
      <c r="M524" s="28">
        <v>1709.25</v>
      </c>
      <c r="N524" s="39">
        <f>Data[[#This Row],[Gross Wages]]/Data[[#This Row],[No. of Hours Worked]]</f>
        <v>26.5</v>
      </c>
    </row>
    <row r="525" spans="1:14" x14ac:dyDescent="0.3">
      <c r="A525" s="15" t="s">
        <v>140</v>
      </c>
      <c r="B525" s="1">
        <v>2025</v>
      </c>
      <c r="C525" s="10">
        <v>45778</v>
      </c>
      <c r="D525" s="34" t="s">
        <v>87</v>
      </c>
      <c r="E525" s="1" t="s">
        <v>66</v>
      </c>
      <c r="F525" s="1" t="s">
        <v>141</v>
      </c>
      <c r="G525" s="1" t="s">
        <v>68</v>
      </c>
      <c r="H525" s="2" t="s">
        <v>142</v>
      </c>
      <c r="I525" s="1" t="s">
        <v>0</v>
      </c>
      <c r="J525" s="1" t="s">
        <v>9</v>
      </c>
      <c r="K525" s="1">
        <v>4</v>
      </c>
      <c r="L525" s="1">
        <v>408</v>
      </c>
      <c r="M525" s="28">
        <v>11321.28</v>
      </c>
      <c r="N525" s="39">
        <f>Data[[#This Row],[Gross Wages]]/Data[[#This Row],[No. of Hours Worked]]</f>
        <v>27.748235294117649</v>
      </c>
    </row>
    <row r="526" spans="1:14" x14ac:dyDescent="0.3">
      <c r="A526" s="15" t="s">
        <v>106</v>
      </c>
      <c r="B526" s="1">
        <v>2025</v>
      </c>
      <c r="C526" s="10">
        <v>45778</v>
      </c>
      <c r="D526" s="34" t="s">
        <v>87</v>
      </c>
      <c r="E526" s="1" t="s">
        <v>66</v>
      </c>
      <c r="F526" s="1" t="s">
        <v>104</v>
      </c>
      <c r="G526" s="1" t="s">
        <v>68</v>
      </c>
      <c r="H526" s="2" t="s">
        <v>105</v>
      </c>
      <c r="I526" s="1" t="s">
        <v>0</v>
      </c>
      <c r="J526" s="1" t="s">
        <v>9</v>
      </c>
      <c r="K526" s="1">
        <v>1</v>
      </c>
      <c r="L526" s="1">
        <v>16</v>
      </c>
      <c r="M526" s="28">
        <v>340.64</v>
      </c>
      <c r="N526" s="39">
        <f>Data[[#This Row],[Gross Wages]]/Data[[#This Row],[No. of Hours Worked]]</f>
        <v>21.29</v>
      </c>
    </row>
    <row r="527" spans="1:14" x14ac:dyDescent="0.3">
      <c r="A527" s="15" t="s">
        <v>106</v>
      </c>
      <c r="B527" s="1">
        <v>2025</v>
      </c>
      <c r="C527" s="10">
        <v>45778</v>
      </c>
      <c r="D527" s="34" t="s">
        <v>87</v>
      </c>
      <c r="E527" s="1" t="s">
        <v>66</v>
      </c>
      <c r="F527" s="1" t="s">
        <v>90</v>
      </c>
      <c r="G527" s="1" t="s">
        <v>68</v>
      </c>
      <c r="H527" s="2" t="s">
        <v>99</v>
      </c>
      <c r="I527" s="1" t="s">
        <v>0</v>
      </c>
      <c r="J527" s="1" t="s">
        <v>9</v>
      </c>
      <c r="K527" s="1">
        <v>2</v>
      </c>
      <c r="L527" s="1">
        <v>77.5</v>
      </c>
      <c r="M527" s="28">
        <v>3386.59</v>
      </c>
      <c r="N527" s="39">
        <f>Data[[#This Row],[Gross Wages]]/Data[[#This Row],[No. of Hours Worked]]</f>
        <v>43.697935483870971</v>
      </c>
    </row>
    <row r="528" spans="1:14" x14ac:dyDescent="0.3">
      <c r="A528" s="15" t="s">
        <v>106</v>
      </c>
      <c r="B528" s="1">
        <v>2025</v>
      </c>
      <c r="C528" s="10">
        <v>45778</v>
      </c>
      <c r="D528" s="34" t="s">
        <v>87</v>
      </c>
      <c r="E528" s="1" t="s">
        <v>66</v>
      </c>
      <c r="F528" s="1" t="s">
        <v>90</v>
      </c>
      <c r="G528" s="1" t="s">
        <v>68</v>
      </c>
      <c r="H528" s="2" t="s">
        <v>99</v>
      </c>
      <c r="I528" s="1" t="s">
        <v>0</v>
      </c>
      <c r="J528" s="1" t="s">
        <v>9</v>
      </c>
      <c r="K528" s="1">
        <v>2</v>
      </c>
      <c r="L528" s="1">
        <v>112</v>
      </c>
      <c r="M528" s="28">
        <v>3564.8</v>
      </c>
      <c r="N528" s="39">
        <f>Data[[#This Row],[Gross Wages]]/Data[[#This Row],[No. of Hours Worked]]</f>
        <v>31.828571428571429</v>
      </c>
    </row>
    <row r="529" spans="1:14" x14ac:dyDescent="0.3">
      <c r="A529" s="15" t="s">
        <v>112</v>
      </c>
      <c r="B529" s="1">
        <v>2025</v>
      </c>
      <c r="C529" s="10">
        <v>45778</v>
      </c>
      <c r="D529" s="34" t="s">
        <v>87</v>
      </c>
      <c r="E529" s="1" t="s">
        <v>66</v>
      </c>
      <c r="F529" s="1" t="s">
        <v>109</v>
      </c>
      <c r="G529" s="1" t="s">
        <v>68</v>
      </c>
      <c r="H529" s="2" t="s">
        <v>110</v>
      </c>
      <c r="I529" s="1" t="s">
        <v>111</v>
      </c>
      <c r="J529" s="1" t="s">
        <v>9</v>
      </c>
      <c r="K529" s="1">
        <v>1</v>
      </c>
      <c r="L529" s="1">
        <v>16</v>
      </c>
      <c r="M529" s="28">
        <v>527.67999999999995</v>
      </c>
      <c r="N529" s="39">
        <f>Data[[#This Row],[Gross Wages]]/Data[[#This Row],[No. of Hours Worked]]</f>
        <v>32.979999999999997</v>
      </c>
    </row>
    <row r="530" spans="1:14" x14ac:dyDescent="0.3">
      <c r="A530" s="15" t="s">
        <v>112</v>
      </c>
      <c r="B530" s="1">
        <v>2025</v>
      </c>
      <c r="C530" s="10">
        <v>45778</v>
      </c>
      <c r="D530" s="34" t="s">
        <v>87</v>
      </c>
      <c r="E530" s="1" t="s">
        <v>66</v>
      </c>
      <c r="F530" s="1" t="s">
        <v>109</v>
      </c>
      <c r="G530" s="1" t="s">
        <v>68</v>
      </c>
      <c r="H530" s="2" t="s">
        <v>110</v>
      </c>
      <c r="I530" s="1" t="s">
        <v>0</v>
      </c>
      <c r="J530" s="1" t="s">
        <v>9</v>
      </c>
      <c r="K530" s="1">
        <v>2</v>
      </c>
      <c r="L530" s="1">
        <v>120</v>
      </c>
      <c r="M530" s="28">
        <v>3384</v>
      </c>
      <c r="N530" s="39">
        <f>Data[[#This Row],[Gross Wages]]/Data[[#This Row],[No. of Hours Worked]]</f>
        <v>28.2</v>
      </c>
    </row>
    <row r="531" spans="1:14" x14ac:dyDescent="0.3">
      <c r="A531" s="15" t="s">
        <v>128</v>
      </c>
      <c r="B531" s="1">
        <v>2025</v>
      </c>
      <c r="C531" s="10">
        <v>45778</v>
      </c>
      <c r="D531" s="34" t="s">
        <v>87</v>
      </c>
      <c r="E531" s="1" t="s">
        <v>66</v>
      </c>
      <c r="F531" s="1" t="s">
        <v>97</v>
      </c>
      <c r="G531" s="1" t="s">
        <v>68</v>
      </c>
      <c r="H531" s="2" t="s">
        <v>98</v>
      </c>
      <c r="I531" s="1" t="s">
        <v>0</v>
      </c>
      <c r="J531" s="1" t="s">
        <v>9</v>
      </c>
      <c r="K531" s="1">
        <v>6</v>
      </c>
      <c r="L531" s="1">
        <v>670.5</v>
      </c>
      <c r="M531" s="28">
        <v>23638.400000000001</v>
      </c>
      <c r="N531" s="39">
        <f>Data[[#This Row],[Gross Wages]]/Data[[#This Row],[No. of Hours Worked]]</f>
        <v>35.254884414615958</v>
      </c>
    </row>
    <row r="532" spans="1:14" x14ac:dyDescent="0.3">
      <c r="A532" s="15" t="s">
        <v>150</v>
      </c>
      <c r="B532" s="1">
        <v>2025</v>
      </c>
      <c r="C532" s="10">
        <v>45778</v>
      </c>
      <c r="D532" s="34" t="s">
        <v>87</v>
      </c>
      <c r="E532" s="1" t="s">
        <v>66</v>
      </c>
      <c r="F532" s="1" t="s">
        <v>148</v>
      </c>
      <c r="G532" s="1" t="s">
        <v>68</v>
      </c>
      <c r="H532" s="2" t="s">
        <v>149</v>
      </c>
      <c r="I532" s="1" t="s">
        <v>0</v>
      </c>
      <c r="J532" s="1" t="s">
        <v>9</v>
      </c>
      <c r="K532" s="1">
        <v>2</v>
      </c>
      <c r="L532" s="1">
        <v>164</v>
      </c>
      <c r="M532" s="28">
        <v>5689.16</v>
      </c>
      <c r="N532" s="39">
        <f>Data[[#This Row],[Gross Wages]]/Data[[#This Row],[No. of Hours Worked]]</f>
        <v>34.69</v>
      </c>
    </row>
    <row r="533" spans="1:14" x14ac:dyDescent="0.3">
      <c r="A533" s="15" t="s">
        <v>48</v>
      </c>
      <c r="B533" s="1">
        <v>2025</v>
      </c>
      <c r="C533" s="10">
        <v>45778</v>
      </c>
      <c r="D533" s="34" t="s">
        <v>87</v>
      </c>
      <c r="E533" s="1" t="s">
        <v>66</v>
      </c>
      <c r="F533" s="1" t="s">
        <v>84</v>
      </c>
      <c r="G533" s="1" t="s">
        <v>68</v>
      </c>
      <c r="H533" s="2" t="s">
        <v>85</v>
      </c>
      <c r="I533" s="1" t="s">
        <v>1</v>
      </c>
      <c r="J533" s="1" t="s">
        <v>9</v>
      </c>
      <c r="K533" s="1">
        <v>1</v>
      </c>
      <c r="L533" s="1">
        <v>143</v>
      </c>
      <c r="M533" s="28">
        <v>6447</v>
      </c>
      <c r="N533" s="39">
        <f>Data[[#This Row],[Gross Wages]]/Data[[#This Row],[No. of Hours Worked]]</f>
        <v>45.083916083916087</v>
      </c>
    </row>
    <row r="534" spans="1:14" x14ac:dyDescent="0.3">
      <c r="A534" s="15" t="s">
        <v>48</v>
      </c>
      <c r="B534" s="17">
        <v>2025</v>
      </c>
      <c r="C534" s="10">
        <v>45778</v>
      </c>
      <c r="D534" s="34" t="s">
        <v>87</v>
      </c>
      <c r="E534" s="1" t="s">
        <v>66</v>
      </c>
      <c r="F534" s="1" t="s">
        <v>84</v>
      </c>
      <c r="G534" s="1" t="s">
        <v>68</v>
      </c>
      <c r="H534" s="2" t="s">
        <v>85</v>
      </c>
      <c r="I534" s="1" t="s">
        <v>0</v>
      </c>
      <c r="J534" s="1" t="s">
        <v>9</v>
      </c>
      <c r="K534" s="1">
        <v>12</v>
      </c>
      <c r="L534" s="1">
        <v>1517</v>
      </c>
      <c r="M534" s="16">
        <v>64623.19</v>
      </c>
      <c r="N534" s="39">
        <f>Data[[#This Row],[Gross Wages]]/Data[[#This Row],[No. of Hours Worked]]</f>
        <v>42.599334212261041</v>
      </c>
    </row>
    <row r="535" spans="1:14" x14ac:dyDescent="0.3">
      <c r="A535" s="15" t="s">
        <v>49</v>
      </c>
      <c r="B535" s="17">
        <v>2025</v>
      </c>
      <c r="C535" s="10">
        <v>45778</v>
      </c>
      <c r="D535" s="42" t="s">
        <v>87</v>
      </c>
      <c r="E535" s="1" t="s">
        <v>66</v>
      </c>
      <c r="F535" s="1" t="s">
        <v>67</v>
      </c>
      <c r="G535" s="1" t="s">
        <v>68</v>
      </c>
      <c r="H535" s="2" t="s">
        <v>69</v>
      </c>
      <c r="I535" s="1" t="s">
        <v>0</v>
      </c>
      <c r="J535" s="1" t="s">
        <v>9</v>
      </c>
      <c r="K535" s="1">
        <v>8</v>
      </c>
      <c r="L535" s="1">
        <v>468</v>
      </c>
      <c r="M535" s="28">
        <v>35916.76</v>
      </c>
      <c r="N535" s="39">
        <f>Data[[#This Row],[Gross Wages]]/Data[[#This Row],[No. of Hours Worked]]</f>
        <v>76.745213675213677</v>
      </c>
    </row>
    <row r="536" spans="1:14" x14ac:dyDescent="0.3">
      <c r="A536" s="15" t="s">
        <v>50</v>
      </c>
      <c r="B536" s="17">
        <v>2025</v>
      </c>
      <c r="C536" s="10">
        <v>45778</v>
      </c>
      <c r="D536" s="2" t="s">
        <v>87</v>
      </c>
      <c r="E536" s="18" t="s">
        <v>66</v>
      </c>
      <c r="F536" s="18" t="s">
        <v>100</v>
      </c>
      <c r="G536" s="19" t="s">
        <v>68</v>
      </c>
      <c r="H536" s="23" t="s">
        <v>101</v>
      </c>
      <c r="I536" s="71" t="s">
        <v>0</v>
      </c>
      <c r="J536" s="71" t="s">
        <v>9</v>
      </c>
      <c r="K536" s="71">
        <v>10</v>
      </c>
      <c r="L536" s="71">
        <v>151.22999999999999</v>
      </c>
      <c r="M536" s="29">
        <v>5268.89</v>
      </c>
      <c r="N536" s="39">
        <f>Data[[#This Row],[Gross Wages]]/Data[[#This Row],[No. of Hours Worked]]</f>
        <v>34.84024333796205</v>
      </c>
    </row>
    <row r="537" spans="1:14" x14ac:dyDescent="0.3">
      <c r="A537" s="15" t="s">
        <v>50</v>
      </c>
      <c r="B537" s="17">
        <v>2025</v>
      </c>
      <c r="C537" s="10">
        <v>45778</v>
      </c>
      <c r="D537" s="35" t="s">
        <v>87</v>
      </c>
      <c r="E537" s="18" t="s">
        <v>66</v>
      </c>
      <c r="F537" s="18" t="s">
        <v>100</v>
      </c>
      <c r="G537" s="19" t="s">
        <v>68</v>
      </c>
      <c r="H537" s="23" t="s">
        <v>101</v>
      </c>
      <c r="I537" s="1" t="s">
        <v>3</v>
      </c>
      <c r="J537" s="71" t="s">
        <v>9</v>
      </c>
      <c r="K537" s="71">
        <v>1</v>
      </c>
      <c r="L537" s="71">
        <v>51.3</v>
      </c>
      <c r="M537" s="29">
        <v>1789.67</v>
      </c>
      <c r="N537" s="39">
        <f>Data[[#This Row],[Gross Wages]]/Data[[#This Row],[No. of Hours Worked]]</f>
        <v>34.886354775828465</v>
      </c>
    </row>
    <row r="538" spans="1:14" x14ac:dyDescent="0.3">
      <c r="A538" s="15" t="s">
        <v>50</v>
      </c>
      <c r="B538" s="17">
        <v>2025</v>
      </c>
      <c r="C538" s="10">
        <v>45778</v>
      </c>
      <c r="D538" s="2" t="s">
        <v>87</v>
      </c>
      <c r="E538" s="18" t="s">
        <v>66</v>
      </c>
      <c r="F538" s="18" t="s">
        <v>75</v>
      </c>
      <c r="G538" s="19" t="s">
        <v>68</v>
      </c>
      <c r="H538" s="23" t="s">
        <v>76</v>
      </c>
      <c r="I538" s="71" t="s">
        <v>0</v>
      </c>
      <c r="J538" s="71" t="s">
        <v>9</v>
      </c>
      <c r="K538" s="71">
        <v>1</v>
      </c>
      <c r="L538" s="71">
        <v>6.58</v>
      </c>
      <c r="M538" s="29">
        <v>313.49</v>
      </c>
      <c r="N538" s="39">
        <f>Data[[#This Row],[Gross Wages]]/Data[[#This Row],[No. of Hours Worked]]</f>
        <v>47.642857142857146</v>
      </c>
    </row>
    <row r="539" spans="1:14" x14ac:dyDescent="0.3">
      <c r="A539" s="15" t="s">
        <v>52</v>
      </c>
      <c r="B539" s="17">
        <v>2025</v>
      </c>
      <c r="C539" s="10">
        <v>45778</v>
      </c>
      <c r="D539" s="42" t="s">
        <v>87</v>
      </c>
      <c r="E539" s="1" t="s">
        <v>66</v>
      </c>
      <c r="F539" s="1" t="s">
        <v>90</v>
      </c>
      <c r="G539" s="1" t="s">
        <v>68</v>
      </c>
      <c r="H539" s="2" t="s">
        <v>99</v>
      </c>
      <c r="I539" s="1" t="s">
        <v>0</v>
      </c>
      <c r="J539" s="1" t="s">
        <v>9</v>
      </c>
      <c r="K539" s="1">
        <v>3</v>
      </c>
      <c r="L539" s="1">
        <v>256</v>
      </c>
      <c r="M539" s="28">
        <v>15896.75</v>
      </c>
      <c r="N539" s="39">
        <f>Data[[#This Row],[Gross Wages]]/Data[[#This Row],[No. of Hours Worked]]</f>
        <v>62.0966796875</v>
      </c>
    </row>
    <row r="540" spans="1:14" x14ac:dyDescent="0.3">
      <c r="A540" s="15" t="s">
        <v>123</v>
      </c>
      <c r="B540" s="17">
        <v>2025</v>
      </c>
      <c r="C540" s="10">
        <v>45778</v>
      </c>
      <c r="D540" s="34" t="s">
        <v>87</v>
      </c>
      <c r="E540" s="1" t="s">
        <v>80</v>
      </c>
      <c r="F540" s="1" t="s">
        <v>151</v>
      </c>
      <c r="G540" s="1" t="s">
        <v>68</v>
      </c>
      <c r="H540" s="2" t="s">
        <v>152</v>
      </c>
      <c r="I540" s="1" t="s">
        <v>0</v>
      </c>
      <c r="J540" s="1" t="s">
        <v>9</v>
      </c>
      <c r="K540" s="1">
        <v>2</v>
      </c>
      <c r="L540" s="1">
        <v>312</v>
      </c>
      <c r="M540" s="28">
        <v>12336.72</v>
      </c>
      <c r="N540" s="39">
        <f>Data[[#This Row],[Gross Wages]]/Data[[#This Row],[No. of Hours Worked]]</f>
        <v>39.540769230769229</v>
      </c>
    </row>
    <row r="541" spans="1:14" x14ac:dyDescent="0.3">
      <c r="A541" s="15" t="s">
        <v>123</v>
      </c>
      <c r="B541" s="17">
        <v>2025</v>
      </c>
      <c r="C541" s="10">
        <v>45778</v>
      </c>
      <c r="D541" s="34" t="s">
        <v>87</v>
      </c>
      <c r="E541" s="1" t="s">
        <v>80</v>
      </c>
      <c r="F541" s="1" t="s">
        <v>151</v>
      </c>
      <c r="G541" s="1" t="s">
        <v>68</v>
      </c>
      <c r="H541" s="2" t="s">
        <v>152</v>
      </c>
      <c r="I541" s="1" t="s">
        <v>2</v>
      </c>
      <c r="J541" s="1" t="s">
        <v>9</v>
      </c>
      <c r="K541" s="1">
        <v>1</v>
      </c>
      <c r="L541" s="1">
        <v>80</v>
      </c>
      <c r="M541" s="28">
        <v>3604.8</v>
      </c>
      <c r="N541" s="39">
        <f>Data[[#This Row],[Gross Wages]]/Data[[#This Row],[No. of Hours Worked]]</f>
        <v>45.06</v>
      </c>
    </row>
    <row r="542" spans="1:14" x14ac:dyDescent="0.3">
      <c r="A542" s="15" t="s">
        <v>123</v>
      </c>
      <c r="B542" s="17">
        <v>2025</v>
      </c>
      <c r="C542" s="10">
        <v>45778</v>
      </c>
      <c r="D542" s="34" t="s">
        <v>87</v>
      </c>
      <c r="E542" s="1" t="s">
        <v>80</v>
      </c>
      <c r="F542" s="1" t="s">
        <v>151</v>
      </c>
      <c r="G542" s="1" t="s">
        <v>68</v>
      </c>
      <c r="H542" s="2" t="s">
        <v>152</v>
      </c>
      <c r="I542" s="1" t="s">
        <v>111</v>
      </c>
      <c r="J542" s="1" t="s">
        <v>9</v>
      </c>
      <c r="K542" s="1">
        <v>1</v>
      </c>
      <c r="L542" s="1">
        <v>80</v>
      </c>
      <c r="M542" s="28">
        <v>3464</v>
      </c>
      <c r="N542" s="39">
        <f>Data[[#This Row],[Gross Wages]]/Data[[#This Row],[No. of Hours Worked]]</f>
        <v>43.3</v>
      </c>
    </row>
    <row r="543" spans="1:14" x14ac:dyDescent="0.3">
      <c r="A543" s="15" t="s">
        <v>144</v>
      </c>
      <c r="B543" s="17">
        <v>2025</v>
      </c>
      <c r="C543" s="10">
        <v>45778</v>
      </c>
      <c r="D543" s="42" t="s">
        <v>87</v>
      </c>
      <c r="E543" s="1" t="s">
        <v>66</v>
      </c>
      <c r="F543" s="1" t="s">
        <v>95</v>
      </c>
      <c r="G543" s="1" t="s">
        <v>68</v>
      </c>
      <c r="H543" s="2" t="s">
        <v>96</v>
      </c>
      <c r="I543" s="1" t="s">
        <v>0</v>
      </c>
      <c r="J543" s="1" t="s">
        <v>9</v>
      </c>
      <c r="K543" s="1">
        <v>1</v>
      </c>
      <c r="L543" s="1">
        <v>4</v>
      </c>
      <c r="M543" s="28">
        <v>262</v>
      </c>
      <c r="N543" s="39">
        <f>Data[[#This Row],[Gross Wages]]/Data[[#This Row],[No. of Hours Worked]]</f>
        <v>65.5</v>
      </c>
    </row>
    <row r="544" spans="1:14" x14ac:dyDescent="0.3">
      <c r="A544" s="15" t="s">
        <v>144</v>
      </c>
      <c r="B544" s="17">
        <v>2025</v>
      </c>
      <c r="C544" s="10">
        <v>45778</v>
      </c>
      <c r="D544" s="34" t="s">
        <v>87</v>
      </c>
      <c r="E544" s="1" t="s">
        <v>66</v>
      </c>
      <c r="F544" s="1" t="s">
        <v>145</v>
      </c>
      <c r="G544" s="1" t="s">
        <v>68</v>
      </c>
      <c r="H544" s="2" t="s">
        <v>146</v>
      </c>
      <c r="I544" s="1" t="s">
        <v>0</v>
      </c>
      <c r="J544" s="1" t="s">
        <v>9</v>
      </c>
      <c r="K544" s="1">
        <v>1</v>
      </c>
      <c r="L544" s="1">
        <v>14</v>
      </c>
      <c r="M544" s="28">
        <v>716.8</v>
      </c>
      <c r="N544" s="39">
        <f>Data[[#This Row],[Gross Wages]]/Data[[#This Row],[No. of Hours Worked]]</f>
        <v>51.199999999999996</v>
      </c>
    </row>
    <row r="545" spans="1:14" x14ac:dyDescent="0.3">
      <c r="A545" s="15" t="s">
        <v>144</v>
      </c>
      <c r="B545" s="17">
        <v>2025</v>
      </c>
      <c r="C545" s="10">
        <v>45778</v>
      </c>
      <c r="D545" s="42" t="s">
        <v>87</v>
      </c>
      <c r="E545" s="1" t="s">
        <v>66</v>
      </c>
      <c r="F545" s="1" t="s">
        <v>145</v>
      </c>
      <c r="G545" s="1" t="s">
        <v>68</v>
      </c>
      <c r="H545" s="2" t="s">
        <v>146</v>
      </c>
      <c r="I545" s="1" t="s">
        <v>1</v>
      </c>
      <c r="J545" s="1" t="s">
        <v>9</v>
      </c>
      <c r="K545" s="1">
        <v>1</v>
      </c>
      <c r="L545" s="1">
        <v>18</v>
      </c>
      <c r="M545" s="28">
        <v>790.2</v>
      </c>
      <c r="N545" s="39">
        <f>Data[[#This Row],[Gross Wages]]/Data[[#This Row],[No. of Hours Worked]]</f>
        <v>43.900000000000006</v>
      </c>
    </row>
    <row r="546" spans="1:14" x14ac:dyDescent="0.3">
      <c r="A546" s="15" t="s">
        <v>144</v>
      </c>
      <c r="B546" s="17">
        <v>2025</v>
      </c>
      <c r="C546" s="10">
        <v>45778</v>
      </c>
      <c r="D546" s="34" t="s">
        <v>87</v>
      </c>
      <c r="E546" s="1" t="s">
        <v>66</v>
      </c>
      <c r="F546" s="1" t="s">
        <v>145</v>
      </c>
      <c r="G546" s="1" t="s">
        <v>68</v>
      </c>
      <c r="H546" s="2" t="s">
        <v>146</v>
      </c>
      <c r="I546" s="1" t="s">
        <v>111</v>
      </c>
      <c r="J546" s="1" t="s">
        <v>9</v>
      </c>
      <c r="K546" s="1">
        <v>1</v>
      </c>
      <c r="L546" s="1">
        <v>14.5</v>
      </c>
      <c r="M546" s="28">
        <v>749.53</v>
      </c>
      <c r="N546" s="39">
        <f>Data[[#This Row],[Gross Wages]]/Data[[#This Row],[No. of Hours Worked]]</f>
        <v>51.691724137931033</v>
      </c>
    </row>
    <row r="547" spans="1:14" x14ac:dyDescent="0.3">
      <c r="A547" s="3" t="s">
        <v>132</v>
      </c>
      <c r="B547" s="17">
        <v>2025</v>
      </c>
      <c r="C547" s="11">
        <v>45778</v>
      </c>
      <c r="D547" s="42" t="s">
        <v>87</v>
      </c>
      <c r="E547" s="17" t="s">
        <v>66</v>
      </c>
      <c r="F547" s="17" t="s">
        <v>125</v>
      </c>
      <c r="G547" s="17" t="s">
        <v>68</v>
      </c>
      <c r="H547" s="35" t="s">
        <v>126</v>
      </c>
      <c r="I547" s="17" t="s">
        <v>2</v>
      </c>
      <c r="J547" s="17" t="s">
        <v>9</v>
      </c>
      <c r="K547" s="17">
        <v>1</v>
      </c>
      <c r="L547" s="17">
        <v>19.5</v>
      </c>
      <c r="M547" s="43">
        <v>507.2</v>
      </c>
      <c r="N547" s="39">
        <f>Data[[#This Row],[Gross Wages]]/Data[[#This Row],[No. of Hours Worked]]</f>
        <v>26.01025641025641</v>
      </c>
    </row>
    <row r="548" spans="1:14" x14ac:dyDescent="0.3">
      <c r="A548" s="15" t="s">
        <v>132</v>
      </c>
      <c r="B548" s="17">
        <v>2025</v>
      </c>
      <c r="C548" s="10">
        <v>45778</v>
      </c>
      <c r="D548" s="34" t="s">
        <v>87</v>
      </c>
      <c r="E548" s="1" t="s">
        <v>66</v>
      </c>
      <c r="F548" s="1" t="s">
        <v>125</v>
      </c>
      <c r="G548" s="1" t="s">
        <v>68</v>
      </c>
      <c r="H548" s="2" t="s">
        <v>126</v>
      </c>
      <c r="I548" s="1" t="s">
        <v>0</v>
      </c>
      <c r="J548" s="1" t="s">
        <v>9</v>
      </c>
      <c r="K548" s="1">
        <v>7</v>
      </c>
      <c r="L548" s="1">
        <v>223.5</v>
      </c>
      <c r="M548" s="28">
        <v>7262.92</v>
      </c>
      <c r="N548" s="39">
        <f>Data[[#This Row],[Gross Wages]]/Data[[#This Row],[No. of Hours Worked]]</f>
        <v>32.496286353467561</v>
      </c>
    </row>
    <row r="549" spans="1:14" x14ac:dyDescent="0.3">
      <c r="A549" s="3" t="s">
        <v>132</v>
      </c>
      <c r="B549" s="17">
        <v>2025</v>
      </c>
      <c r="C549" s="11">
        <v>45778</v>
      </c>
      <c r="D549" s="42" t="s">
        <v>87</v>
      </c>
      <c r="E549" s="17" t="s">
        <v>66</v>
      </c>
      <c r="F549" s="17" t="s">
        <v>133</v>
      </c>
      <c r="G549" s="17" t="s">
        <v>68</v>
      </c>
      <c r="H549" s="35" t="s">
        <v>134</v>
      </c>
      <c r="I549" s="17" t="s">
        <v>0</v>
      </c>
      <c r="J549" s="17" t="s">
        <v>9</v>
      </c>
      <c r="K549" s="17">
        <v>8</v>
      </c>
      <c r="L549" s="17">
        <v>852</v>
      </c>
      <c r="M549" s="43">
        <v>34528.410000000003</v>
      </c>
      <c r="N549" s="39">
        <f>Data[[#This Row],[Gross Wages]]/Data[[#This Row],[No. of Hours Worked]]</f>
        <v>40.526302816901413</v>
      </c>
    </row>
    <row r="550" spans="1:14" x14ac:dyDescent="0.3">
      <c r="A550" s="3" t="s">
        <v>40</v>
      </c>
      <c r="B550" s="17">
        <v>2025</v>
      </c>
      <c r="C550" s="11">
        <v>45809</v>
      </c>
      <c r="D550" s="42" t="s">
        <v>87</v>
      </c>
      <c r="E550" s="17" t="s">
        <v>66</v>
      </c>
      <c r="F550" s="17" t="s">
        <v>91</v>
      </c>
      <c r="G550" s="17" t="s">
        <v>68</v>
      </c>
      <c r="H550" s="35" t="s">
        <v>92</v>
      </c>
      <c r="I550" s="1" t="s">
        <v>0</v>
      </c>
      <c r="J550" s="1" t="s">
        <v>9</v>
      </c>
      <c r="K550" s="17">
        <v>6</v>
      </c>
      <c r="L550" s="17">
        <v>164</v>
      </c>
      <c r="M550" s="115">
        <v>6880.72</v>
      </c>
      <c r="N550" s="39">
        <f>Data[[#This Row],[Gross Wages]]/Data[[#This Row],[No. of Hours Worked]]</f>
        <v>41.955609756097566</v>
      </c>
    </row>
    <row r="551" spans="1:14" x14ac:dyDescent="0.3">
      <c r="A551" s="3" t="s">
        <v>137</v>
      </c>
      <c r="B551" s="17">
        <v>2025</v>
      </c>
      <c r="C551" s="11">
        <v>45809</v>
      </c>
      <c r="D551" s="42" t="s">
        <v>87</v>
      </c>
      <c r="E551" s="17" t="s">
        <v>80</v>
      </c>
      <c r="F551" s="17" t="s">
        <v>138</v>
      </c>
      <c r="G551" s="17" t="s">
        <v>68</v>
      </c>
      <c r="H551" s="35" t="s">
        <v>139</v>
      </c>
      <c r="I551" s="17" t="s">
        <v>0</v>
      </c>
      <c r="J551" s="17" t="s">
        <v>9</v>
      </c>
      <c r="K551" s="17">
        <v>3</v>
      </c>
      <c r="L551" s="17">
        <v>305</v>
      </c>
      <c r="M551" s="43">
        <v>20737</v>
      </c>
      <c r="N551" s="39">
        <f>Data[[#This Row],[Gross Wages]]/Data[[#This Row],[No. of Hours Worked]]</f>
        <v>67.990163934426235</v>
      </c>
    </row>
    <row r="552" spans="1:14" x14ac:dyDescent="0.3">
      <c r="A552" s="3" t="s">
        <v>43</v>
      </c>
      <c r="B552" s="17">
        <v>2025</v>
      </c>
      <c r="C552" s="10">
        <v>45809</v>
      </c>
      <c r="D552" s="34" t="s">
        <v>87</v>
      </c>
      <c r="E552" s="1" t="s">
        <v>80</v>
      </c>
      <c r="F552" s="1" t="s">
        <v>88</v>
      </c>
      <c r="G552" s="1" t="s">
        <v>68</v>
      </c>
      <c r="H552" s="2" t="s">
        <v>89</v>
      </c>
      <c r="I552" s="1" t="s">
        <v>0</v>
      </c>
      <c r="J552" s="1" t="s">
        <v>9</v>
      </c>
      <c r="K552" s="1">
        <v>5</v>
      </c>
      <c r="L552" s="1">
        <v>655</v>
      </c>
      <c r="M552" s="28">
        <v>25744.799999999999</v>
      </c>
      <c r="N552" s="39">
        <f>Data[[#This Row],[Gross Wages]]/Data[[#This Row],[No. of Hours Worked]]</f>
        <v>39.305038167938932</v>
      </c>
    </row>
    <row r="553" spans="1:14" x14ac:dyDescent="0.3">
      <c r="A553" s="3" t="s">
        <v>45</v>
      </c>
      <c r="B553" s="17">
        <v>2025</v>
      </c>
      <c r="C553" s="10">
        <v>45809</v>
      </c>
      <c r="D553" s="2" t="s">
        <v>87</v>
      </c>
      <c r="E553" s="18" t="s">
        <v>66</v>
      </c>
      <c r="F553" s="18" t="s">
        <v>67</v>
      </c>
      <c r="G553" s="19" t="s">
        <v>68</v>
      </c>
      <c r="H553" s="23" t="s">
        <v>69</v>
      </c>
      <c r="I553" s="71" t="s">
        <v>0</v>
      </c>
      <c r="J553" s="71" t="s">
        <v>10</v>
      </c>
      <c r="K553" s="71">
        <v>1</v>
      </c>
      <c r="L553" s="71">
        <v>168</v>
      </c>
      <c r="M553" s="29">
        <v>6177.6</v>
      </c>
      <c r="N553" s="39">
        <f>Data[[#This Row],[Gross Wages]]/Data[[#This Row],[No. of Hours Worked]]</f>
        <v>36.771428571428572</v>
      </c>
    </row>
    <row r="554" spans="1:14" x14ac:dyDescent="0.3">
      <c r="A554" s="3" t="s">
        <v>45</v>
      </c>
      <c r="B554" s="17">
        <v>2025</v>
      </c>
      <c r="C554" s="10">
        <v>45809</v>
      </c>
      <c r="D554" s="2" t="s">
        <v>87</v>
      </c>
      <c r="E554" s="18" t="s">
        <v>66</v>
      </c>
      <c r="F554" s="18" t="s">
        <v>67</v>
      </c>
      <c r="G554" s="19" t="s">
        <v>68</v>
      </c>
      <c r="H554" s="23" t="s">
        <v>69</v>
      </c>
      <c r="I554" s="71" t="s">
        <v>2</v>
      </c>
      <c r="J554" s="71" t="s">
        <v>10</v>
      </c>
      <c r="K554" s="71">
        <v>1</v>
      </c>
      <c r="L554" s="71">
        <v>160</v>
      </c>
      <c r="M554" s="29">
        <v>7721.6</v>
      </c>
      <c r="N554" s="39">
        <f>Data[[#This Row],[Gross Wages]]/Data[[#This Row],[No. of Hours Worked]]</f>
        <v>48.260000000000005</v>
      </c>
    </row>
    <row r="555" spans="1:14" x14ac:dyDescent="0.3">
      <c r="A555" s="3" t="s">
        <v>45</v>
      </c>
      <c r="B555" s="17">
        <v>2025</v>
      </c>
      <c r="C555" s="10">
        <v>45809</v>
      </c>
      <c r="D555" s="2" t="s">
        <v>87</v>
      </c>
      <c r="E555" s="18" t="s">
        <v>66</v>
      </c>
      <c r="F555" s="18" t="s">
        <v>67</v>
      </c>
      <c r="G555" s="19" t="s">
        <v>68</v>
      </c>
      <c r="H555" s="23" t="s">
        <v>69</v>
      </c>
      <c r="I555" s="71" t="s">
        <v>0</v>
      </c>
      <c r="J555" s="71" t="s">
        <v>9</v>
      </c>
      <c r="K555" s="71">
        <v>5</v>
      </c>
      <c r="L555" s="71">
        <v>822</v>
      </c>
      <c r="M555" s="29">
        <v>40906.94</v>
      </c>
      <c r="N555" s="39">
        <f>Data[[#This Row],[Gross Wages]]/Data[[#This Row],[No. of Hours Worked]]</f>
        <v>49.765133819951338</v>
      </c>
    </row>
    <row r="556" spans="1:14" x14ac:dyDescent="0.3">
      <c r="A556" s="3" t="s">
        <v>143</v>
      </c>
      <c r="B556" s="17">
        <v>2025</v>
      </c>
      <c r="C556" s="10">
        <v>45809</v>
      </c>
      <c r="D556" s="34" t="s">
        <v>87</v>
      </c>
      <c r="E556" s="1" t="s">
        <v>80</v>
      </c>
      <c r="F556" s="1" t="s">
        <v>130</v>
      </c>
      <c r="G556" s="1" t="s">
        <v>68</v>
      </c>
      <c r="H556" s="2" t="s">
        <v>131</v>
      </c>
      <c r="I556" s="1" t="s">
        <v>0</v>
      </c>
      <c r="J556" s="1" t="s">
        <v>9</v>
      </c>
      <c r="K556" s="1">
        <v>5</v>
      </c>
      <c r="L556" s="1">
        <v>158</v>
      </c>
      <c r="M556" s="28">
        <v>4562.66</v>
      </c>
      <c r="N556" s="39">
        <f>Data[[#This Row],[Gross Wages]]/Data[[#This Row],[No. of Hours Worked]]</f>
        <v>28.87759493670886</v>
      </c>
    </row>
    <row r="557" spans="1:14" x14ac:dyDescent="0.3">
      <c r="A557" s="3" t="s">
        <v>127</v>
      </c>
      <c r="B557" s="17">
        <v>2025</v>
      </c>
      <c r="C557" s="10">
        <v>45809</v>
      </c>
      <c r="D557" s="34" t="s">
        <v>87</v>
      </c>
      <c r="E557" s="1" t="s">
        <v>66</v>
      </c>
      <c r="F557" s="1" t="s">
        <v>93</v>
      </c>
      <c r="G557" s="1" t="s">
        <v>68</v>
      </c>
      <c r="H557" s="2" t="s">
        <v>94</v>
      </c>
      <c r="I557" s="1" t="s">
        <v>0</v>
      </c>
      <c r="J557" s="1" t="s">
        <v>9</v>
      </c>
      <c r="K557" s="1">
        <v>2</v>
      </c>
      <c r="L557" s="1">
        <v>16</v>
      </c>
      <c r="M557" s="28">
        <v>538.88</v>
      </c>
      <c r="N557" s="39">
        <f>Data[[#This Row],[Gross Wages]]/Data[[#This Row],[No. of Hours Worked]]</f>
        <v>33.68</v>
      </c>
    </row>
    <row r="558" spans="1:14" x14ac:dyDescent="0.3">
      <c r="A558" s="3" t="s">
        <v>140</v>
      </c>
      <c r="B558" s="17">
        <v>2025</v>
      </c>
      <c r="C558" s="10">
        <v>45809</v>
      </c>
      <c r="D558" s="34" t="s">
        <v>87</v>
      </c>
      <c r="E558" s="1" t="s">
        <v>66</v>
      </c>
      <c r="F558" s="1" t="s">
        <v>70</v>
      </c>
      <c r="G558" s="1" t="s">
        <v>68</v>
      </c>
      <c r="H558" s="2" t="s">
        <v>71</v>
      </c>
      <c r="I558" s="1" t="s">
        <v>0</v>
      </c>
      <c r="J558" s="1" t="s">
        <v>9</v>
      </c>
      <c r="K558" s="1">
        <v>11</v>
      </c>
      <c r="L558" s="1">
        <v>1327</v>
      </c>
      <c r="M558" s="28">
        <v>39843.230000000003</v>
      </c>
      <c r="N558" s="39">
        <f>Data[[#This Row],[Gross Wages]]/Data[[#This Row],[No. of Hours Worked]]</f>
        <v>30.025041446872649</v>
      </c>
    </row>
    <row r="559" spans="1:14" x14ac:dyDescent="0.3">
      <c r="A559" s="3" t="s">
        <v>140</v>
      </c>
      <c r="B559" s="17">
        <v>2025</v>
      </c>
      <c r="C559" s="10">
        <v>45809</v>
      </c>
      <c r="D559" s="34" t="s">
        <v>87</v>
      </c>
      <c r="E559" s="1" t="s">
        <v>66</v>
      </c>
      <c r="F559" s="1" t="s">
        <v>72</v>
      </c>
      <c r="G559" s="1" t="s">
        <v>73</v>
      </c>
      <c r="H559" s="2" t="s">
        <v>74</v>
      </c>
      <c r="I559" s="1" t="s">
        <v>0</v>
      </c>
      <c r="J559" s="1" t="s">
        <v>9</v>
      </c>
      <c r="K559" s="1">
        <v>1</v>
      </c>
      <c r="L559" s="1">
        <v>80</v>
      </c>
      <c r="M559" s="28">
        <v>2120</v>
      </c>
      <c r="N559" s="39">
        <f>Data[[#This Row],[Gross Wages]]/Data[[#This Row],[No. of Hours Worked]]</f>
        <v>26.5</v>
      </c>
    </row>
    <row r="560" spans="1:14" x14ac:dyDescent="0.3">
      <c r="A560" s="3" t="s">
        <v>140</v>
      </c>
      <c r="B560" s="17">
        <v>2025</v>
      </c>
      <c r="C560" s="10">
        <v>45809</v>
      </c>
      <c r="D560" s="34" t="s">
        <v>87</v>
      </c>
      <c r="E560" s="1" t="s">
        <v>66</v>
      </c>
      <c r="F560" s="1" t="s">
        <v>141</v>
      </c>
      <c r="G560" s="1" t="s">
        <v>68</v>
      </c>
      <c r="H560" s="2" t="s">
        <v>142</v>
      </c>
      <c r="I560" s="1" t="s">
        <v>0</v>
      </c>
      <c r="J560" s="1" t="s">
        <v>9</v>
      </c>
      <c r="K560" s="1">
        <v>3</v>
      </c>
      <c r="L560" s="1">
        <v>402</v>
      </c>
      <c r="M560" s="28">
        <v>12265.22</v>
      </c>
      <c r="N560" s="39">
        <f>Data[[#This Row],[Gross Wages]]/Data[[#This Row],[No. of Hours Worked]]</f>
        <v>30.510497512437809</v>
      </c>
    </row>
    <row r="561" spans="1:14" x14ac:dyDescent="0.3">
      <c r="A561" s="3" t="s">
        <v>106</v>
      </c>
      <c r="B561" s="1">
        <v>2025</v>
      </c>
      <c r="C561" s="10">
        <v>45809</v>
      </c>
      <c r="D561" s="34" t="s">
        <v>87</v>
      </c>
      <c r="E561" s="1" t="s">
        <v>66</v>
      </c>
      <c r="F561" s="1" t="s">
        <v>104</v>
      </c>
      <c r="G561" s="1" t="s">
        <v>68</v>
      </c>
      <c r="H561" s="2" t="s">
        <v>105</v>
      </c>
      <c r="I561" s="1" t="s">
        <v>0</v>
      </c>
      <c r="J561" s="1" t="s">
        <v>9</v>
      </c>
      <c r="K561" s="1">
        <v>1</v>
      </c>
      <c r="L561" s="1">
        <v>24</v>
      </c>
      <c r="M561" s="28">
        <v>514.08000000000004</v>
      </c>
      <c r="N561" s="39">
        <f>Data[[#This Row],[Gross Wages]]/Data[[#This Row],[No. of Hours Worked]]</f>
        <v>21.42</v>
      </c>
    </row>
    <row r="562" spans="1:14" x14ac:dyDescent="0.3">
      <c r="A562" s="3" t="s">
        <v>106</v>
      </c>
      <c r="B562" s="1">
        <v>2025</v>
      </c>
      <c r="C562" s="10">
        <v>45809</v>
      </c>
      <c r="D562" s="34" t="s">
        <v>87</v>
      </c>
      <c r="E562" s="1" t="s">
        <v>66</v>
      </c>
      <c r="F562" s="1" t="s">
        <v>90</v>
      </c>
      <c r="G562" s="1" t="s">
        <v>68</v>
      </c>
      <c r="H562" s="2" t="s">
        <v>99</v>
      </c>
      <c r="I562" s="1" t="s">
        <v>0</v>
      </c>
      <c r="J562" s="1" t="s">
        <v>9</v>
      </c>
      <c r="K562" s="1">
        <v>2</v>
      </c>
      <c r="L562" s="1">
        <v>44</v>
      </c>
      <c r="M562" s="28">
        <v>1367.9</v>
      </c>
      <c r="N562" s="39">
        <f>Data[[#This Row],[Gross Wages]]/Data[[#This Row],[No. of Hours Worked]]</f>
        <v>31.088636363636365</v>
      </c>
    </row>
    <row r="563" spans="1:14" x14ac:dyDescent="0.3">
      <c r="A563" s="3" t="s">
        <v>106</v>
      </c>
      <c r="B563" s="1">
        <v>2025</v>
      </c>
      <c r="C563" s="10">
        <v>45809</v>
      </c>
      <c r="D563" s="34" t="s">
        <v>87</v>
      </c>
      <c r="E563" s="1" t="s">
        <v>66</v>
      </c>
      <c r="F563" s="1" t="s">
        <v>90</v>
      </c>
      <c r="G563" s="1" t="s">
        <v>68</v>
      </c>
      <c r="H563" s="2" t="s">
        <v>99</v>
      </c>
      <c r="I563" s="1" t="s">
        <v>0</v>
      </c>
      <c r="J563" s="1" t="s">
        <v>9</v>
      </c>
      <c r="K563" s="1">
        <v>2</v>
      </c>
      <c r="L563" s="1">
        <v>69</v>
      </c>
      <c r="M563" s="28">
        <v>3089.79</v>
      </c>
      <c r="N563" s="39">
        <f>Data[[#This Row],[Gross Wages]]/Data[[#This Row],[No. of Hours Worked]]</f>
        <v>44.779565217391301</v>
      </c>
    </row>
    <row r="564" spans="1:14" x14ac:dyDescent="0.3">
      <c r="A564" s="3" t="s">
        <v>112</v>
      </c>
      <c r="B564" s="1">
        <v>2025</v>
      </c>
      <c r="C564" s="10">
        <v>45809</v>
      </c>
      <c r="D564" s="34" t="s">
        <v>87</v>
      </c>
      <c r="E564" s="1" t="s">
        <v>66</v>
      </c>
      <c r="F564" s="1" t="s">
        <v>109</v>
      </c>
      <c r="G564" s="1" t="s">
        <v>68</v>
      </c>
      <c r="H564" s="2" t="s">
        <v>110</v>
      </c>
      <c r="I564" s="1" t="s">
        <v>0</v>
      </c>
      <c r="J564" s="1" t="s">
        <v>9</v>
      </c>
      <c r="K564" s="1">
        <v>2</v>
      </c>
      <c r="L564" s="1">
        <v>122</v>
      </c>
      <c r="M564" s="28">
        <v>3504.42</v>
      </c>
      <c r="N564" s="39">
        <f>Data[[#This Row],[Gross Wages]]/Data[[#This Row],[No. of Hours Worked]]</f>
        <v>28.724754098360656</v>
      </c>
    </row>
    <row r="565" spans="1:14" x14ac:dyDescent="0.3">
      <c r="A565" s="3" t="s">
        <v>112</v>
      </c>
      <c r="B565" s="1">
        <v>2025</v>
      </c>
      <c r="C565" s="10">
        <v>45809</v>
      </c>
      <c r="D565" s="34" t="s">
        <v>87</v>
      </c>
      <c r="E565" s="1" t="s">
        <v>66</v>
      </c>
      <c r="F565" s="1" t="s">
        <v>109</v>
      </c>
      <c r="G565" s="1" t="s">
        <v>68</v>
      </c>
      <c r="H565" s="2" t="s">
        <v>110</v>
      </c>
      <c r="I565" s="1" t="s">
        <v>0</v>
      </c>
      <c r="J565" s="1" t="s">
        <v>10</v>
      </c>
      <c r="K565" s="1">
        <v>1</v>
      </c>
      <c r="L565" s="1">
        <v>76</v>
      </c>
      <c r="M565" s="28">
        <v>1404</v>
      </c>
      <c r="N565" s="39">
        <f>Data[[#This Row],[Gross Wages]]/Data[[#This Row],[No. of Hours Worked]]</f>
        <v>18.473684210526315</v>
      </c>
    </row>
    <row r="566" spans="1:14" x14ac:dyDescent="0.3">
      <c r="A566" s="3" t="s">
        <v>128</v>
      </c>
      <c r="B566" s="1">
        <v>2025</v>
      </c>
      <c r="C566" s="10">
        <v>45809</v>
      </c>
      <c r="D566" s="34" t="s">
        <v>87</v>
      </c>
      <c r="E566" s="1" t="s">
        <v>66</v>
      </c>
      <c r="F566" s="1" t="s">
        <v>97</v>
      </c>
      <c r="G566" s="1" t="s">
        <v>68</v>
      </c>
      <c r="H566" s="2" t="s">
        <v>98</v>
      </c>
      <c r="I566" s="1" t="s">
        <v>0</v>
      </c>
      <c r="J566" s="1" t="s">
        <v>9</v>
      </c>
      <c r="K566" s="1">
        <v>4</v>
      </c>
      <c r="L566" s="1">
        <v>170</v>
      </c>
      <c r="M566" s="28">
        <v>5636.61</v>
      </c>
      <c r="N566" s="39">
        <f>Data[[#This Row],[Gross Wages]]/Data[[#This Row],[No. of Hours Worked]]</f>
        <v>33.156529411764701</v>
      </c>
    </row>
    <row r="567" spans="1:14" x14ac:dyDescent="0.3">
      <c r="A567" s="3" t="s">
        <v>150</v>
      </c>
      <c r="B567" s="1">
        <v>2025</v>
      </c>
      <c r="C567" s="10">
        <v>45809</v>
      </c>
      <c r="D567" s="34" t="s">
        <v>87</v>
      </c>
      <c r="E567" s="1" t="s">
        <v>66</v>
      </c>
      <c r="F567" s="1" t="s">
        <v>148</v>
      </c>
      <c r="G567" s="1" t="s">
        <v>68</v>
      </c>
      <c r="H567" s="2" t="s">
        <v>149</v>
      </c>
      <c r="I567" s="1" t="s">
        <v>0</v>
      </c>
      <c r="J567" s="1" t="s">
        <v>9</v>
      </c>
      <c r="K567" s="1">
        <v>3</v>
      </c>
      <c r="L567" s="1">
        <v>80</v>
      </c>
      <c r="M567" s="28">
        <v>2721.44</v>
      </c>
      <c r="N567" s="39">
        <f>Data[[#This Row],[Gross Wages]]/Data[[#This Row],[No. of Hours Worked]]</f>
        <v>34.018000000000001</v>
      </c>
    </row>
    <row r="568" spans="1:14" x14ac:dyDescent="0.3">
      <c r="A568" s="3" t="s">
        <v>48</v>
      </c>
      <c r="B568" s="17">
        <v>2025</v>
      </c>
      <c r="C568" s="10">
        <v>45809</v>
      </c>
      <c r="D568" s="42" t="s">
        <v>87</v>
      </c>
      <c r="E568" s="17" t="s">
        <v>66</v>
      </c>
      <c r="F568" s="17" t="s">
        <v>84</v>
      </c>
      <c r="G568" s="17" t="s">
        <v>68</v>
      </c>
      <c r="H568" s="35" t="s">
        <v>85</v>
      </c>
      <c r="I568" s="17" t="s">
        <v>1</v>
      </c>
      <c r="J568" s="17" t="s">
        <v>9</v>
      </c>
      <c r="K568" s="17">
        <v>1</v>
      </c>
      <c r="L568" s="17">
        <v>4</v>
      </c>
      <c r="M568" s="43">
        <v>267</v>
      </c>
      <c r="N568" s="39">
        <f>Data[[#This Row],[Gross Wages]]/Data[[#This Row],[No. of Hours Worked]]</f>
        <v>66.75</v>
      </c>
    </row>
    <row r="569" spans="1:14" x14ac:dyDescent="0.3">
      <c r="A569" s="3" t="s">
        <v>48</v>
      </c>
      <c r="B569" s="1">
        <v>2025</v>
      </c>
      <c r="C569" s="10">
        <v>45809</v>
      </c>
      <c r="D569" s="34" t="s">
        <v>87</v>
      </c>
      <c r="E569" s="1" t="s">
        <v>66</v>
      </c>
      <c r="F569" s="1" t="s">
        <v>84</v>
      </c>
      <c r="G569" s="1" t="s">
        <v>68</v>
      </c>
      <c r="H569" s="2" t="s">
        <v>85</v>
      </c>
      <c r="I569" s="1" t="s">
        <v>0</v>
      </c>
      <c r="J569" s="1" t="s">
        <v>9</v>
      </c>
      <c r="K569" s="1">
        <v>14</v>
      </c>
      <c r="L569" s="1">
        <v>976.5</v>
      </c>
      <c r="M569" s="16">
        <v>45233.2</v>
      </c>
      <c r="N569" s="39">
        <f>Data[[#This Row],[Gross Wages]]/Data[[#This Row],[No. of Hours Worked]]</f>
        <v>46.32176139272913</v>
      </c>
    </row>
    <row r="570" spans="1:14" x14ac:dyDescent="0.3">
      <c r="A570" s="3" t="s">
        <v>48</v>
      </c>
      <c r="B570" s="17">
        <v>2025</v>
      </c>
      <c r="C570" s="10">
        <v>45809</v>
      </c>
      <c r="D570" s="42" t="s">
        <v>87</v>
      </c>
      <c r="E570" s="17" t="s">
        <v>66</v>
      </c>
      <c r="F570" s="17" t="s">
        <v>84</v>
      </c>
      <c r="G570" s="17" t="s">
        <v>68</v>
      </c>
      <c r="H570" s="35" t="s">
        <v>85</v>
      </c>
      <c r="I570" s="17" t="s">
        <v>0</v>
      </c>
      <c r="J570" s="17" t="s">
        <v>9</v>
      </c>
      <c r="K570" s="17">
        <v>3</v>
      </c>
      <c r="L570" s="17">
        <v>376</v>
      </c>
      <c r="M570" s="43">
        <v>12027.78</v>
      </c>
      <c r="N570" s="39">
        <f>Data[[#This Row],[Gross Wages]]/Data[[#This Row],[No. of Hours Worked]]</f>
        <v>31.988776595744682</v>
      </c>
    </row>
    <row r="571" spans="1:14" x14ac:dyDescent="0.3">
      <c r="A571" s="3" t="s">
        <v>154</v>
      </c>
      <c r="B571" s="1">
        <v>2025</v>
      </c>
      <c r="C571" s="10">
        <v>45809</v>
      </c>
      <c r="D571" s="34" t="s">
        <v>87</v>
      </c>
      <c r="E571" s="1" t="s">
        <v>80</v>
      </c>
      <c r="F571" s="1" t="s">
        <v>121</v>
      </c>
      <c r="G571" s="1" t="s">
        <v>73</v>
      </c>
      <c r="H571" s="2" t="s">
        <v>122</v>
      </c>
      <c r="I571" s="1" t="s">
        <v>2</v>
      </c>
      <c r="J571" s="1" t="s">
        <v>9</v>
      </c>
      <c r="K571" s="1">
        <v>1</v>
      </c>
      <c r="L571" s="1">
        <v>36</v>
      </c>
      <c r="M571" s="28">
        <v>1771.2</v>
      </c>
      <c r="N571" s="39">
        <f>Data[[#This Row],[Gross Wages]]/Data[[#This Row],[No. of Hours Worked]]</f>
        <v>49.2</v>
      </c>
    </row>
    <row r="572" spans="1:14" x14ac:dyDescent="0.3">
      <c r="A572" s="3" t="s">
        <v>154</v>
      </c>
      <c r="B572" s="1">
        <v>2025</v>
      </c>
      <c r="C572" s="10">
        <v>45809</v>
      </c>
      <c r="D572" s="34" t="s">
        <v>87</v>
      </c>
      <c r="E572" s="1" t="s">
        <v>80</v>
      </c>
      <c r="F572" s="1" t="s">
        <v>121</v>
      </c>
      <c r="G572" s="1" t="s">
        <v>73</v>
      </c>
      <c r="H572" s="2" t="s">
        <v>122</v>
      </c>
      <c r="I572" s="1" t="s">
        <v>3</v>
      </c>
      <c r="J572" s="1" t="s">
        <v>9</v>
      </c>
      <c r="K572" s="1">
        <v>2</v>
      </c>
      <c r="L572" s="1">
        <v>64</v>
      </c>
      <c r="M572" s="28">
        <v>3148.8</v>
      </c>
      <c r="N572" s="39">
        <f>Data[[#This Row],[Gross Wages]]/Data[[#This Row],[No. of Hours Worked]]</f>
        <v>49.2</v>
      </c>
    </row>
    <row r="573" spans="1:14" x14ac:dyDescent="0.3">
      <c r="A573" s="3" t="s">
        <v>49</v>
      </c>
      <c r="B573" s="1">
        <v>2025</v>
      </c>
      <c r="C573" s="10">
        <v>45809</v>
      </c>
      <c r="D573" s="34" t="s">
        <v>87</v>
      </c>
      <c r="E573" s="1" t="s">
        <v>66</v>
      </c>
      <c r="F573" s="1" t="s">
        <v>67</v>
      </c>
      <c r="G573" s="1" t="s">
        <v>68</v>
      </c>
      <c r="H573" s="2" t="s">
        <v>69</v>
      </c>
      <c r="I573" s="1" t="s">
        <v>0</v>
      </c>
      <c r="J573" s="1" t="s">
        <v>9</v>
      </c>
      <c r="K573" s="1">
        <v>6</v>
      </c>
      <c r="L573" s="1">
        <v>587</v>
      </c>
      <c r="M573" s="28">
        <v>44852.67</v>
      </c>
      <c r="N573" s="39">
        <f>Data[[#This Row],[Gross Wages]]/Data[[#This Row],[No. of Hours Worked]]</f>
        <v>76.41</v>
      </c>
    </row>
    <row r="574" spans="1:14" x14ac:dyDescent="0.3">
      <c r="A574" s="3" t="s">
        <v>155</v>
      </c>
      <c r="B574" s="1">
        <v>2025</v>
      </c>
      <c r="C574" s="10">
        <v>45809</v>
      </c>
      <c r="D574" s="34" t="s">
        <v>87</v>
      </c>
      <c r="E574" s="1" t="s">
        <v>66</v>
      </c>
      <c r="F574" s="1" t="s">
        <v>70</v>
      </c>
      <c r="G574" s="1" t="s">
        <v>68</v>
      </c>
      <c r="H574" s="2" t="s">
        <v>71</v>
      </c>
      <c r="I574" s="1" t="s">
        <v>0</v>
      </c>
      <c r="J574" s="1" t="s">
        <v>9</v>
      </c>
      <c r="K574" s="1">
        <v>4</v>
      </c>
      <c r="L574" s="1">
        <v>48</v>
      </c>
      <c r="M574" s="28">
        <v>1299.24</v>
      </c>
      <c r="N574" s="39">
        <f>Data[[#This Row],[Gross Wages]]/Data[[#This Row],[No. of Hours Worked]]</f>
        <v>27.067499999999999</v>
      </c>
    </row>
    <row r="575" spans="1:14" x14ac:dyDescent="0.3">
      <c r="A575" s="3" t="s">
        <v>50</v>
      </c>
      <c r="B575" s="1">
        <v>2025</v>
      </c>
      <c r="C575" s="10">
        <v>45809</v>
      </c>
      <c r="D575" s="35" t="s">
        <v>87</v>
      </c>
      <c r="E575" s="44" t="s">
        <v>66</v>
      </c>
      <c r="F575" s="44" t="s">
        <v>100</v>
      </c>
      <c r="G575" s="46" t="s">
        <v>68</v>
      </c>
      <c r="H575" s="48" t="s">
        <v>101</v>
      </c>
      <c r="I575" s="52" t="s">
        <v>0</v>
      </c>
      <c r="J575" s="52" t="s">
        <v>9</v>
      </c>
      <c r="K575" s="52">
        <v>1</v>
      </c>
      <c r="L575" s="52">
        <v>3.68</v>
      </c>
      <c r="M575" s="53">
        <v>134.44</v>
      </c>
      <c r="N575" s="39">
        <f>Data[[#This Row],[Gross Wages]]/Data[[#This Row],[No. of Hours Worked]]</f>
        <v>36.532608695652172</v>
      </c>
    </row>
    <row r="576" spans="1:14" x14ac:dyDescent="0.3">
      <c r="A576" s="3" t="s">
        <v>51</v>
      </c>
      <c r="B576" s="1">
        <v>2025</v>
      </c>
      <c r="C576" s="10">
        <v>45809</v>
      </c>
      <c r="D576" s="2" t="s">
        <v>87</v>
      </c>
      <c r="E576" s="18" t="s">
        <v>66</v>
      </c>
      <c r="F576" s="18" t="s">
        <v>72</v>
      </c>
      <c r="G576" s="19" t="s">
        <v>73</v>
      </c>
      <c r="H576" s="23" t="s">
        <v>74</v>
      </c>
      <c r="I576" s="71" t="s">
        <v>0</v>
      </c>
      <c r="J576" s="71" t="s">
        <v>9</v>
      </c>
      <c r="K576" s="71">
        <v>3</v>
      </c>
      <c r="L576" s="71">
        <v>199.5</v>
      </c>
      <c r="M576" s="29">
        <v>8452.2800000000007</v>
      </c>
      <c r="N576" s="39">
        <f>Data[[#This Row],[Gross Wages]]/Data[[#This Row],[No. of Hours Worked]]</f>
        <v>42.367318295739352</v>
      </c>
    </row>
    <row r="577" spans="1:14" x14ac:dyDescent="0.3">
      <c r="A577" s="3" t="s">
        <v>51</v>
      </c>
      <c r="B577" s="1">
        <v>2025</v>
      </c>
      <c r="C577" s="10">
        <v>45809</v>
      </c>
      <c r="D577" s="2" t="s">
        <v>87</v>
      </c>
      <c r="E577" s="18" t="s">
        <v>66</v>
      </c>
      <c r="F577" s="18" t="s">
        <v>70</v>
      </c>
      <c r="G577" s="19" t="s">
        <v>68</v>
      </c>
      <c r="H577" s="23" t="s">
        <v>71</v>
      </c>
      <c r="I577" s="71" t="s">
        <v>0</v>
      </c>
      <c r="J577" s="71" t="s">
        <v>9</v>
      </c>
      <c r="K577" s="71">
        <v>1</v>
      </c>
      <c r="L577" s="71">
        <v>100.03</v>
      </c>
      <c r="M577" s="29">
        <v>4361.29</v>
      </c>
      <c r="N577" s="39">
        <f>Data[[#This Row],[Gross Wages]]/Data[[#This Row],[No. of Hours Worked]]</f>
        <v>43.599820053983805</v>
      </c>
    </row>
    <row r="578" spans="1:14" x14ac:dyDescent="0.3">
      <c r="A578" s="3" t="s">
        <v>52</v>
      </c>
      <c r="B578" s="1">
        <v>2025</v>
      </c>
      <c r="C578" s="10">
        <v>45809</v>
      </c>
      <c r="D578" s="34" t="s">
        <v>87</v>
      </c>
      <c r="E578" s="1" t="s">
        <v>66</v>
      </c>
      <c r="F578" s="1" t="s">
        <v>90</v>
      </c>
      <c r="G578" s="1" t="s">
        <v>68</v>
      </c>
      <c r="H578" s="2" t="s">
        <v>99</v>
      </c>
      <c r="I578" s="1" t="s">
        <v>0</v>
      </c>
      <c r="J578" s="1" t="s">
        <v>9</v>
      </c>
      <c r="K578" s="1">
        <v>2</v>
      </c>
      <c r="L578" s="1">
        <v>160</v>
      </c>
      <c r="M578" s="28">
        <v>9872.48</v>
      </c>
      <c r="N578" s="39">
        <f>Data[[#This Row],[Gross Wages]]/Data[[#This Row],[No. of Hours Worked]]</f>
        <v>61.702999999999996</v>
      </c>
    </row>
    <row r="579" spans="1:14" x14ac:dyDescent="0.3">
      <c r="A579" s="3" t="s">
        <v>123</v>
      </c>
      <c r="B579" s="1">
        <v>2025</v>
      </c>
      <c r="C579" s="11">
        <v>45809</v>
      </c>
      <c r="D579" s="42" t="s">
        <v>87</v>
      </c>
      <c r="E579" s="17" t="s">
        <v>80</v>
      </c>
      <c r="F579" s="17" t="s">
        <v>151</v>
      </c>
      <c r="G579" s="17" t="s">
        <v>68</v>
      </c>
      <c r="H579" s="35" t="s">
        <v>152</v>
      </c>
      <c r="I579" s="17" t="s">
        <v>0</v>
      </c>
      <c r="J579" s="17" t="s">
        <v>9</v>
      </c>
      <c r="K579" s="17">
        <v>2</v>
      </c>
      <c r="L579" s="17">
        <v>390</v>
      </c>
      <c r="M579" s="43">
        <v>15384.9</v>
      </c>
      <c r="N579" s="39">
        <f>Data[[#This Row],[Gross Wages]]/Data[[#This Row],[No. of Hours Worked]]</f>
        <v>39.448461538461537</v>
      </c>
    </row>
    <row r="580" spans="1:14" x14ac:dyDescent="0.3">
      <c r="A580" s="3" t="s">
        <v>123</v>
      </c>
      <c r="B580" s="1">
        <v>2025</v>
      </c>
      <c r="C580" s="10">
        <v>45809</v>
      </c>
      <c r="D580" s="34" t="s">
        <v>87</v>
      </c>
      <c r="E580" s="1" t="s">
        <v>80</v>
      </c>
      <c r="F580" s="1" t="s">
        <v>151</v>
      </c>
      <c r="G580" s="1" t="s">
        <v>68</v>
      </c>
      <c r="H580" s="2" t="s">
        <v>152</v>
      </c>
      <c r="I580" s="1" t="s">
        <v>2</v>
      </c>
      <c r="J580" s="1" t="s">
        <v>9</v>
      </c>
      <c r="K580" s="1">
        <v>1</v>
      </c>
      <c r="L580" s="1">
        <v>59.5</v>
      </c>
      <c r="M580" s="28">
        <v>2750.95</v>
      </c>
      <c r="N580" s="39">
        <f>Data[[#This Row],[Gross Wages]]/Data[[#This Row],[No. of Hours Worked]]</f>
        <v>46.234453781512599</v>
      </c>
    </row>
    <row r="581" spans="1:14" x14ac:dyDescent="0.3">
      <c r="A581" s="3" t="s">
        <v>123</v>
      </c>
      <c r="B581" s="1">
        <v>2025</v>
      </c>
      <c r="C581" s="10">
        <v>45809</v>
      </c>
      <c r="D581" s="34" t="s">
        <v>87</v>
      </c>
      <c r="E581" s="1" t="s">
        <v>80</v>
      </c>
      <c r="F581" s="1" t="s">
        <v>151</v>
      </c>
      <c r="G581" s="1" t="s">
        <v>68</v>
      </c>
      <c r="H581" s="2" t="s">
        <v>152</v>
      </c>
      <c r="I581" s="1" t="s">
        <v>111</v>
      </c>
      <c r="J581" s="1" t="s">
        <v>9</v>
      </c>
      <c r="K581" s="1">
        <v>1</v>
      </c>
      <c r="L581" s="1">
        <v>27.5</v>
      </c>
      <c r="M581" s="28">
        <v>1190.75</v>
      </c>
      <c r="N581" s="39">
        <f>Data[[#This Row],[Gross Wages]]/Data[[#This Row],[No. of Hours Worked]]</f>
        <v>43.3</v>
      </c>
    </row>
    <row r="582" spans="1:14" x14ac:dyDescent="0.3">
      <c r="A582" s="3" t="s">
        <v>132</v>
      </c>
      <c r="B582" s="1">
        <v>2025</v>
      </c>
      <c r="C582" s="10">
        <v>45809</v>
      </c>
      <c r="D582" s="2" t="s">
        <v>87</v>
      </c>
      <c r="E582" s="18" t="s">
        <v>66</v>
      </c>
      <c r="F582" s="18" t="s">
        <v>133</v>
      </c>
      <c r="G582" s="19" t="s">
        <v>68</v>
      </c>
      <c r="H582" s="23" t="s">
        <v>134</v>
      </c>
      <c r="I582" s="71" t="s">
        <v>0</v>
      </c>
      <c r="J582" s="71" t="s">
        <v>9</v>
      </c>
      <c r="K582" s="71">
        <v>6</v>
      </c>
      <c r="L582" s="71">
        <v>524</v>
      </c>
      <c r="M582" s="29">
        <v>20355.939999999999</v>
      </c>
      <c r="N582" s="39">
        <f>Data[[#This Row],[Gross Wages]]/Data[[#This Row],[No. of Hours Worked]]</f>
        <v>38.84721374045801</v>
      </c>
    </row>
    <row r="583" spans="1:14" x14ac:dyDescent="0.3">
      <c r="A583" s="3" t="s">
        <v>132</v>
      </c>
      <c r="B583" s="17">
        <v>2025</v>
      </c>
      <c r="C583" s="11">
        <v>45809</v>
      </c>
      <c r="D583" s="35" t="s">
        <v>87</v>
      </c>
      <c r="E583" s="44" t="s">
        <v>66</v>
      </c>
      <c r="F583" s="44" t="s">
        <v>125</v>
      </c>
      <c r="G583" s="46" t="s">
        <v>68</v>
      </c>
      <c r="H583" s="48" t="s">
        <v>126</v>
      </c>
      <c r="I583" s="52" t="s">
        <v>0</v>
      </c>
      <c r="J583" s="52" t="s">
        <v>9</v>
      </c>
      <c r="K583" s="52">
        <v>3</v>
      </c>
      <c r="L583" s="52">
        <v>6</v>
      </c>
      <c r="M583" s="53">
        <v>207.04</v>
      </c>
      <c r="N583" s="39">
        <f>Data[[#This Row],[Gross Wages]]/Data[[#This Row],[No. of Hours Worked]]</f>
        <v>34.506666666666668</v>
      </c>
    </row>
    <row r="584" spans="1:14" x14ac:dyDescent="0.3">
      <c r="A584" s="3" t="s">
        <v>40</v>
      </c>
      <c r="B584" s="1">
        <v>2025</v>
      </c>
      <c r="C584" s="11">
        <v>45839</v>
      </c>
      <c r="D584" s="42" t="s">
        <v>65</v>
      </c>
      <c r="E584" s="1" t="s">
        <v>66</v>
      </c>
      <c r="F584" s="1" t="s">
        <v>91</v>
      </c>
      <c r="G584" s="1" t="s">
        <v>68</v>
      </c>
      <c r="H584" s="2" t="s">
        <v>92</v>
      </c>
      <c r="I584" s="1" t="s">
        <v>0</v>
      </c>
      <c r="J584" s="1" t="s">
        <v>9</v>
      </c>
      <c r="K584" s="1">
        <v>5</v>
      </c>
      <c r="L584" s="1">
        <v>80</v>
      </c>
      <c r="M584" s="16">
        <v>3180.64</v>
      </c>
      <c r="N584" s="39">
        <f>Data[[#This Row],[Gross Wages]]/Data[[#This Row],[No. of Hours Worked]]</f>
        <v>39.757999999999996</v>
      </c>
    </row>
    <row r="585" spans="1:14" x14ac:dyDescent="0.3">
      <c r="A585" s="3" t="s">
        <v>153</v>
      </c>
      <c r="B585" s="1">
        <v>2025</v>
      </c>
      <c r="C585" s="10">
        <v>45839</v>
      </c>
      <c r="D585" s="34" t="s">
        <v>65</v>
      </c>
      <c r="E585" s="1" t="s">
        <v>66</v>
      </c>
      <c r="F585" s="1" t="s">
        <v>70</v>
      </c>
      <c r="G585" s="1" t="s">
        <v>68</v>
      </c>
      <c r="H585" s="2" t="s">
        <v>71</v>
      </c>
      <c r="I585" s="1" t="s">
        <v>0</v>
      </c>
      <c r="J585" s="1" t="s">
        <v>9</v>
      </c>
      <c r="K585" s="1">
        <v>4</v>
      </c>
      <c r="L585" s="1">
        <v>62</v>
      </c>
      <c r="M585" s="28">
        <v>2121.02</v>
      </c>
      <c r="N585" s="39">
        <f>Data[[#This Row],[Gross Wages]]/Data[[#This Row],[No. of Hours Worked]]</f>
        <v>34.21</v>
      </c>
    </row>
    <row r="586" spans="1:14" x14ac:dyDescent="0.3">
      <c r="A586" s="3" t="s">
        <v>137</v>
      </c>
      <c r="B586" s="17">
        <v>2025</v>
      </c>
      <c r="C586" s="11">
        <v>45839</v>
      </c>
      <c r="D586" s="42" t="s">
        <v>65</v>
      </c>
      <c r="E586" s="17" t="s">
        <v>80</v>
      </c>
      <c r="F586" s="17" t="s">
        <v>138</v>
      </c>
      <c r="G586" s="17" t="s">
        <v>68</v>
      </c>
      <c r="H586" s="35" t="s">
        <v>139</v>
      </c>
      <c r="I586" s="17" t="s">
        <v>0</v>
      </c>
      <c r="J586" s="17" t="s">
        <v>9</v>
      </c>
      <c r="K586" s="17">
        <v>2</v>
      </c>
      <c r="L586" s="17">
        <v>256</v>
      </c>
      <c r="M586" s="43">
        <v>18468.580000000002</v>
      </c>
      <c r="N586" s="39">
        <f>Data[[#This Row],[Gross Wages]]/Data[[#This Row],[No. of Hours Worked]]</f>
        <v>72.142890625000007</v>
      </c>
    </row>
    <row r="587" spans="1:14" x14ac:dyDescent="0.3">
      <c r="A587" s="3" t="s">
        <v>43</v>
      </c>
      <c r="B587" s="17">
        <v>2025</v>
      </c>
      <c r="C587" s="11">
        <v>45839</v>
      </c>
      <c r="D587" s="42" t="s">
        <v>65</v>
      </c>
      <c r="E587" s="17" t="s">
        <v>80</v>
      </c>
      <c r="F587" s="17" t="s">
        <v>88</v>
      </c>
      <c r="G587" s="17" t="s">
        <v>68</v>
      </c>
      <c r="H587" s="35" t="s">
        <v>89</v>
      </c>
      <c r="I587" s="1" t="s">
        <v>0</v>
      </c>
      <c r="J587" s="17" t="s">
        <v>9</v>
      </c>
      <c r="K587" s="17">
        <v>4</v>
      </c>
      <c r="L587" s="17">
        <v>719</v>
      </c>
      <c r="M587" s="43">
        <v>28710.47</v>
      </c>
      <c r="N587" s="39">
        <f>Data[[#This Row],[Gross Wages]]/Data[[#This Row],[No. of Hours Worked]]</f>
        <v>39.93111265646732</v>
      </c>
    </row>
    <row r="588" spans="1:14" x14ac:dyDescent="0.3">
      <c r="A588" s="3" t="s">
        <v>45</v>
      </c>
      <c r="B588" s="1">
        <v>2025</v>
      </c>
      <c r="C588" s="10">
        <v>45839</v>
      </c>
      <c r="D588" s="34" t="s">
        <v>65</v>
      </c>
      <c r="E588" s="1" t="s">
        <v>66</v>
      </c>
      <c r="F588" s="1" t="s">
        <v>67</v>
      </c>
      <c r="G588" s="1" t="s">
        <v>68</v>
      </c>
      <c r="H588" s="2" t="s">
        <v>69</v>
      </c>
      <c r="I588" s="1" t="s">
        <v>0</v>
      </c>
      <c r="J588" s="1" t="s">
        <v>9</v>
      </c>
      <c r="K588" s="1">
        <v>7</v>
      </c>
      <c r="L588" s="1">
        <v>960</v>
      </c>
      <c r="M588" s="28">
        <v>46210.49</v>
      </c>
      <c r="N588" s="39">
        <f>Data[[#This Row],[Gross Wages]]/Data[[#This Row],[No. of Hours Worked]]</f>
        <v>48.135927083333328</v>
      </c>
    </row>
    <row r="589" spans="1:14" x14ac:dyDescent="0.3">
      <c r="A589" s="3" t="s">
        <v>45</v>
      </c>
      <c r="B589" s="1">
        <v>2025</v>
      </c>
      <c r="C589" s="10">
        <v>45839</v>
      </c>
      <c r="D589" s="34" t="s">
        <v>65</v>
      </c>
      <c r="E589" s="1" t="s">
        <v>66</v>
      </c>
      <c r="F589" s="1" t="s">
        <v>67</v>
      </c>
      <c r="G589" s="1" t="s">
        <v>68</v>
      </c>
      <c r="H589" s="2" t="s">
        <v>69</v>
      </c>
      <c r="I589" s="1" t="s">
        <v>2</v>
      </c>
      <c r="J589" s="1" t="s">
        <v>10</v>
      </c>
      <c r="K589" s="1">
        <v>1</v>
      </c>
      <c r="L589" s="1">
        <v>72</v>
      </c>
      <c r="M589" s="28">
        <v>2953.44</v>
      </c>
      <c r="N589" s="39">
        <f>Data[[#This Row],[Gross Wages]]/Data[[#This Row],[No. of Hours Worked]]</f>
        <v>41.02</v>
      </c>
    </row>
    <row r="590" spans="1:14" x14ac:dyDescent="0.3">
      <c r="A590" s="3" t="s">
        <v>45</v>
      </c>
      <c r="B590" s="17">
        <v>2025</v>
      </c>
      <c r="C590" s="11">
        <v>45839</v>
      </c>
      <c r="D590" s="42" t="s">
        <v>65</v>
      </c>
      <c r="E590" s="1" t="s">
        <v>66</v>
      </c>
      <c r="F590" s="1" t="s">
        <v>67</v>
      </c>
      <c r="G590" s="1" t="s">
        <v>68</v>
      </c>
      <c r="H590" s="2" t="s">
        <v>69</v>
      </c>
      <c r="I590" s="1" t="s">
        <v>0</v>
      </c>
      <c r="J590" s="1" t="s">
        <v>10</v>
      </c>
      <c r="K590" s="1">
        <v>1</v>
      </c>
      <c r="L590" s="1">
        <v>192</v>
      </c>
      <c r="M590" s="28">
        <v>9265.92</v>
      </c>
      <c r="N590" s="39">
        <f>Data[[#This Row],[Gross Wages]]/Data[[#This Row],[No. of Hours Worked]]</f>
        <v>48.26</v>
      </c>
    </row>
    <row r="591" spans="1:14" x14ac:dyDescent="0.3">
      <c r="A591" s="3" t="s">
        <v>143</v>
      </c>
      <c r="B591" s="17">
        <v>2025</v>
      </c>
      <c r="C591" s="11">
        <v>45839</v>
      </c>
      <c r="D591" s="42" t="s">
        <v>65</v>
      </c>
      <c r="E591" s="17" t="s">
        <v>80</v>
      </c>
      <c r="F591" s="17" t="s">
        <v>130</v>
      </c>
      <c r="G591" s="17" t="s">
        <v>68</v>
      </c>
      <c r="H591" s="35" t="s">
        <v>131</v>
      </c>
      <c r="I591" s="17" t="s">
        <v>0</v>
      </c>
      <c r="J591" s="17" t="s">
        <v>9</v>
      </c>
      <c r="K591" s="17">
        <v>4</v>
      </c>
      <c r="L591" s="17">
        <v>531.75</v>
      </c>
      <c r="M591" s="43">
        <v>16390.41</v>
      </c>
      <c r="N591" s="39">
        <f>Data[[#This Row],[Gross Wages]]/Data[[#This Row],[No. of Hours Worked]]</f>
        <v>30.823526093088859</v>
      </c>
    </row>
    <row r="592" spans="1:14" x14ac:dyDescent="0.3">
      <c r="A592" s="3" t="s">
        <v>140</v>
      </c>
      <c r="B592" s="17">
        <v>2025</v>
      </c>
      <c r="C592" s="11">
        <v>45839</v>
      </c>
      <c r="D592" s="42" t="s">
        <v>65</v>
      </c>
      <c r="E592" s="1" t="s">
        <v>66</v>
      </c>
      <c r="F592" s="1" t="s">
        <v>70</v>
      </c>
      <c r="G592" s="1" t="s">
        <v>68</v>
      </c>
      <c r="H592" s="2" t="s">
        <v>71</v>
      </c>
      <c r="I592" s="1" t="s">
        <v>0</v>
      </c>
      <c r="J592" s="1" t="s">
        <v>9</v>
      </c>
      <c r="K592" s="1">
        <v>7</v>
      </c>
      <c r="L592" s="1">
        <v>849</v>
      </c>
      <c r="M592" s="28">
        <v>22877.97</v>
      </c>
      <c r="N592" s="39">
        <f>Data[[#This Row],[Gross Wages]]/Data[[#This Row],[No. of Hours Worked]]</f>
        <v>26.94696113074205</v>
      </c>
    </row>
    <row r="593" spans="1:14" x14ac:dyDescent="0.3">
      <c r="A593" s="3" t="s">
        <v>140</v>
      </c>
      <c r="B593" s="1">
        <v>2025</v>
      </c>
      <c r="C593" s="11">
        <v>45839</v>
      </c>
      <c r="D593" s="42" t="s">
        <v>65</v>
      </c>
      <c r="E593" s="1" t="s">
        <v>66</v>
      </c>
      <c r="F593" s="1" t="s">
        <v>72</v>
      </c>
      <c r="G593" s="1" t="s">
        <v>73</v>
      </c>
      <c r="H593" s="2" t="s">
        <v>74</v>
      </c>
      <c r="I593" s="1" t="s">
        <v>0</v>
      </c>
      <c r="J593" s="1" t="s">
        <v>9</v>
      </c>
      <c r="K593" s="1">
        <v>2</v>
      </c>
      <c r="L593" s="1">
        <v>69</v>
      </c>
      <c r="M593" s="28">
        <v>2070</v>
      </c>
      <c r="N593" s="39">
        <f>Data[[#This Row],[Gross Wages]]/Data[[#This Row],[No. of Hours Worked]]</f>
        <v>30</v>
      </c>
    </row>
    <row r="594" spans="1:14" x14ac:dyDescent="0.3">
      <c r="A594" s="3" t="s">
        <v>140</v>
      </c>
      <c r="B594" s="1">
        <v>2025</v>
      </c>
      <c r="C594" s="11">
        <v>45839</v>
      </c>
      <c r="D594" s="42" t="s">
        <v>65</v>
      </c>
      <c r="E594" s="1" t="s">
        <v>66</v>
      </c>
      <c r="F594" s="1" t="s">
        <v>141</v>
      </c>
      <c r="G594" s="1" t="s">
        <v>68</v>
      </c>
      <c r="H594" s="2" t="s">
        <v>142</v>
      </c>
      <c r="I594" s="1" t="s">
        <v>0</v>
      </c>
      <c r="J594" s="1" t="s">
        <v>9</v>
      </c>
      <c r="K594" s="1">
        <v>3</v>
      </c>
      <c r="L594" s="1">
        <v>369</v>
      </c>
      <c r="M594" s="28">
        <v>13311.13</v>
      </c>
      <c r="N594" s="39">
        <f>Data[[#This Row],[Gross Wages]]/Data[[#This Row],[No. of Hours Worked]]</f>
        <v>36.073523035230352</v>
      </c>
    </row>
    <row r="595" spans="1:14" x14ac:dyDescent="0.3">
      <c r="A595" s="3" t="s">
        <v>106</v>
      </c>
      <c r="B595" s="1">
        <v>2025</v>
      </c>
      <c r="C595" s="11">
        <v>45839</v>
      </c>
      <c r="D595" s="42" t="s">
        <v>65</v>
      </c>
      <c r="E595" s="1" t="s">
        <v>66</v>
      </c>
      <c r="F595" s="1" t="s">
        <v>104</v>
      </c>
      <c r="G595" s="1" t="s">
        <v>68</v>
      </c>
      <c r="H595" s="2" t="s">
        <v>105</v>
      </c>
      <c r="I595" s="1" t="s">
        <v>0</v>
      </c>
      <c r="J595" s="1" t="s">
        <v>9</v>
      </c>
      <c r="K595" s="1">
        <v>2</v>
      </c>
      <c r="L595" s="1">
        <v>32</v>
      </c>
      <c r="M595" s="28">
        <v>784.64</v>
      </c>
      <c r="N595" s="39">
        <f>Data[[#This Row],[Gross Wages]]/Data[[#This Row],[No. of Hours Worked]]</f>
        <v>24.52</v>
      </c>
    </row>
    <row r="596" spans="1:14" x14ac:dyDescent="0.3">
      <c r="A596" s="15" t="s">
        <v>106</v>
      </c>
      <c r="B596" s="1">
        <v>2025</v>
      </c>
      <c r="C596" s="10">
        <v>45839</v>
      </c>
      <c r="D596" s="34" t="s">
        <v>65</v>
      </c>
      <c r="E596" s="1" t="s">
        <v>66</v>
      </c>
      <c r="F596" s="1" t="s">
        <v>90</v>
      </c>
      <c r="G596" s="1" t="s">
        <v>68</v>
      </c>
      <c r="H596" s="2" t="s">
        <v>99</v>
      </c>
      <c r="I596" s="1" t="s">
        <v>0</v>
      </c>
      <c r="J596" s="1" t="s">
        <v>9</v>
      </c>
      <c r="K596" s="1">
        <v>3</v>
      </c>
      <c r="L596" s="1">
        <v>120</v>
      </c>
      <c r="M596" s="28">
        <v>5383.76</v>
      </c>
      <c r="N596" s="39">
        <f>Data[[#This Row],[Gross Wages]]/Data[[#This Row],[No. of Hours Worked]]</f>
        <v>44.864666666666672</v>
      </c>
    </row>
    <row r="597" spans="1:14" x14ac:dyDescent="0.3">
      <c r="A597" s="15" t="s">
        <v>112</v>
      </c>
      <c r="B597" s="17">
        <v>2025</v>
      </c>
      <c r="C597" s="11">
        <v>45839</v>
      </c>
      <c r="D597" s="42" t="s">
        <v>65</v>
      </c>
      <c r="E597" s="1" t="s">
        <v>66</v>
      </c>
      <c r="F597" s="1" t="s">
        <v>109</v>
      </c>
      <c r="G597" s="1" t="s">
        <v>68</v>
      </c>
      <c r="H597" s="2" t="s">
        <v>110</v>
      </c>
      <c r="I597" s="1" t="s">
        <v>0</v>
      </c>
      <c r="J597" s="1" t="s">
        <v>9</v>
      </c>
      <c r="K597" s="1">
        <v>1</v>
      </c>
      <c r="L597" s="1">
        <v>122</v>
      </c>
      <c r="M597" s="16">
        <v>3553.2</v>
      </c>
      <c r="N597" s="39">
        <f>Data[[#This Row],[Gross Wages]]/Data[[#This Row],[No. of Hours Worked]]</f>
        <v>29.124590163934425</v>
      </c>
    </row>
    <row r="598" spans="1:14" x14ac:dyDescent="0.3">
      <c r="A598" s="15" t="s">
        <v>112</v>
      </c>
      <c r="B598" s="1">
        <v>2025</v>
      </c>
      <c r="C598" s="10">
        <v>45839</v>
      </c>
      <c r="D598" s="34" t="s">
        <v>65</v>
      </c>
      <c r="E598" s="1" t="s">
        <v>66</v>
      </c>
      <c r="F598" s="1" t="s">
        <v>109</v>
      </c>
      <c r="G598" s="1" t="s">
        <v>68</v>
      </c>
      <c r="H598" s="2" t="s">
        <v>110</v>
      </c>
      <c r="I598" s="1" t="s">
        <v>0</v>
      </c>
      <c r="J598" s="1" t="s">
        <v>10</v>
      </c>
      <c r="K598" s="1">
        <v>1</v>
      </c>
      <c r="L598" s="1">
        <v>122</v>
      </c>
      <c r="M598" s="16">
        <v>2268</v>
      </c>
      <c r="N598" s="39">
        <f>Data[[#This Row],[Gross Wages]]/Data[[#This Row],[No. of Hours Worked]]</f>
        <v>18.590163934426229</v>
      </c>
    </row>
    <row r="599" spans="1:14" x14ac:dyDescent="0.3">
      <c r="A599" s="3" t="s">
        <v>112</v>
      </c>
      <c r="B599" s="1">
        <v>2025</v>
      </c>
      <c r="C599" s="11">
        <v>45839</v>
      </c>
      <c r="D599" s="42" t="s">
        <v>65</v>
      </c>
      <c r="E599" s="1" t="s">
        <v>66</v>
      </c>
      <c r="F599" s="1" t="s">
        <v>109</v>
      </c>
      <c r="G599" s="1" t="s">
        <v>68</v>
      </c>
      <c r="H599" s="2" t="s">
        <v>110</v>
      </c>
      <c r="I599" s="1" t="s">
        <v>111</v>
      </c>
      <c r="J599" s="1" t="s">
        <v>9</v>
      </c>
      <c r="K599" s="1">
        <v>2</v>
      </c>
      <c r="L599" s="1">
        <v>8</v>
      </c>
      <c r="M599" s="16">
        <v>235.92</v>
      </c>
      <c r="N599" s="39">
        <f>Data[[#This Row],[Gross Wages]]/Data[[#This Row],[No. of Hours Worked]]</f>
        <v>29.49</v>
      </c>
    </row>
    <row r="600" spans="1:14" x14ac:dyDescent="0.3">
      <c r="A600" s="3" t="s">
        <v>128</v>
      </c>
      <c r="B600" s="1">
        <v>2025</v>
      </c>
      <c r="C600" s="10">
        <v>45839</v>
      </c>
      <c r="D600" s="34" t="s">
        <v>65</v>
      </c>
      <c r="E600" s="1" t="s">
        <v>66</v>
      </c>
      <c r="F600" s="1" t="s">
        <v>97</v>
      </c>
      <c r="G600" s="1" t="s">
        <v>68</v>
      </c>
      <c r="H600" s="2" t="s">
        <v>98</v>
      </c>
      <c r="I600" s="1" t="s">
        <v>0</v>
      </c>
      <c r="J600" s="1" t="s">
        <v>9</v>
      </c>
      <c r="K600" s="1">
        <v>2</v>
      </c>
      <c r="L600" s="1">
        <v>16</v>
      </c>
      <c r="M600" s="28">
        <v>586.88</v>
      </c>
      <c r="N600" s="39">
        <f>Data[[#This Row],[Gross Wages]]/Data[[#This Row],[No. of Hours Worked]]</f>
        <v>36.68</v>
      </c>
    </row>
    <row r="601" spans="1:14" x14ac:dyDescent="0.3">
      <c r="A601" s="3" t="s">
        <v>150</v>
      </c>
      <c r="B601" s="1">
        <v>2025</v>
      </c>
      <c r="C601" s="10">
        <v>45839</v>
      </c>
      <c r="D601" s="34" t="s">
        <v>65</v>
      </c>
      <c r="E601" s="1" t="s">
        <v>66</v>
      </c>
      <c r="F601" s="1" t="s">
        <v>148</v>
      </c>
      <c r="G601" s="1" t="s">
        <v>68</v>
      </c>
      <c r="H601" s="2" t="s">
        <v>149</v>
      </c>
      <c r="I601" s="1" t="s">
        <v>0</v>
      </c>
      <c r="J601" s="1" t="s">
        <v>9</v>
      </c>
      <c r="K601" s="1">
        <v>4</v>
      </c>
      <c r="L601" s="1">
        <v>225</v>
      </c>
      <c r="M601" s="28">
        <v>7583.49</v>
      </c>
      <c r="N601" s="39">
        <f>Data[[#This Row],[Gross Wages]]/Data[[#This Row],[No. of Hours Worked]]</f>
        <v>33.7044</v>
      </c>
    </row>
    <row r="602" spans="1:14" x14ac:dyDescent="0.3">
      <c r="A602" s="3" t="s">
        <v>48</v>
      </c>
      <c r="B602" s="1">
        <v>2025</v>
      </c>
      <c r="C602" s="11">
        <v>45839</v>
      </c>
      <c r="D602" s="42" t="s">
        <v>65</v>
      </c>
      <c r="E602" s="1" t="s">
        <v>66</v>
      </c>
      <c r="F602" s="1" t="s">
        <v>84</v>
      </c>
      <c r="G602" s="1" t="s">
        <v>68</v>
      </c>
      <c r="H602" s="2" t="s">
        <v>85</v>
      </c>
      <c r="I602" s="1" t="s">
        <v>1</v>
      </c>
      <c r="J602" s="1" t="s">
        <v>9</v>
      </c>
      <c r="K602" s="1">
        <v>1</v>
      </c>
      <c r="L602" s="1">
        <v>54</v>
      </c>
      <c r="M602" s="28">
        <v>2695.5</v>
      </c>
      <c r="N602" s="39">
        <f>Data[[#This Row],[Gross Wages]]/Data[[#This Row],[No. of Hours Worked]]</f>
        <v>49.916666666666664</v>
      </c>
    </row>
    <row r="603" spans="1:14" x14ac:dyDescent="0.3">
      <c r="A603" s="15" t="s">
        <v>48</v>
      </c>
      <c r="B603" s="1">
        <v>2025</v>
      </c>
      <c r="C603" s="11">
        <v>45839</v>
      </c>
      <c r="D603" s="42" t="s">
        <v>65</v>
      </c>
      <c r="E603" s="1" t="s">
        <v>66</v>
      </c>
      <c r="F603" s="1" t="s">
        <v>84</v>
      </c>
      <c r="G603" s="1" t="s">
        <v>68</v>
      </c>
      <c r="H603" s="2" t="s">
        <v>85</v>
      </c>
      <c r="I603" s="1" t="s">
        <v>0</v>
      </c>
      <c r="J603" s="1" t="s">
        <v>9</v>
      </c>
      <c r="K603" s="1">
        <v>14</v>
      </c>
      <c r="L603" s="59">
        <v>1795</v>
      </c>
      <c r="M603" s="16">
        <v>62925.65</v>
      </c>
      <c r="N603" s="39">
        <f>Data[[#This Row],[Gross Wages]]/Data[[#This Row],[No. of Hours Worked]]</f>
        <v>35.056072423398327</v>
      </c>
    </row>
    <row r="604" spans="1:14" x14ac:dyDescent="0.3">
      <c r="A604" s="3" t="s">
        <v>48</v>
      </c>
      <c r="B604" s="1">
        <v>2025</v>
      </c>
      <c r="C604" s="10">
        <v>45839</v>
      </c>
      <c r="D604" s="34" t="s">
        <v>65</v>
      </c>
      <c r="E604" s="1" t="s">
        <v>66</v>
      </c>
      <c r="F604" s="1" t="s">
        <v>84</v>
      </c>
      <c r="G604" s="1" t="s">
        <v>68</v>
      </c>
      <c r="H604" s="2" t="s">
        <v>85</v>
      </c>
      <c r="I604" s="1" t="s">
        <v>0</v>
      </c>
      <c r="J604" s="1" t="s">
        <v>9</v>
      </c>
      <c r="K604" s="1">
        <v>3</v>
      </c>
      <c r="L604" s="1">
        <v>367</v>
      </c>
      <c r="M604" s="28">
        <v>13802.76</v>
      </c>
      <c r="N604" s="39">
        <f>Data[[#This Row],[Gross Wages]]/Data[[#This Row],[No. of Hours Worked]]</f>
        <v>37.609700272479564</v>
      </c>
    </row>
    <row r="605" spans="1:14" x14ac:dyDescent="0.3">
      <c r="A605" s="3" t="s">
        <v>154</v>
      </c>
      <c r="B605" s="1">
        <v>2025</v>
      </c>
      <c r="C605" s="10">
        <v>45839</v>
      </c>
      <c r="D605" s="34" t="s">
        <v>65</v>
      </c>
      <c r="E605" s="1" t="s">
        <v>80</v>
      </c>
      <c r="F605" s="1" t="s">
        <v>121</v>
      </c>
      <c r="G605" s="1" t="s">
        <v>73</v>
      </c>
      <c r="H605" s="2" t="s">
        <v>122</v>
      </c>
      <c r="I605" s="1" t="s">
        <v>2</v>
      </c>
      <c r="J605" s="1" t="s">
        <v>9</v>
      </c>
      <c r="K605" s="1">
        <v>1</v>
      </c>
      <c r="L605" s="1">
        <v>32</v>
      </c>
      <c r="M605" s="28">
        <v>1648</v>
      </c>
      <c r="N605" s="39">
        <f>Data[[#This Row],[Gross Wages]]/Data[[#This Row],[No. of Hours Worked]]</f>
        <v>51.5</v>
      </c>
    </row>
    <row r="606" spans="1:14" x14ac:dyDescent="0.3">
      <c r="A606" s="3" t="s">
        <v>49</v>
      </c>
      <c r="B606" s="17">
        <v>2025</v>
      </c>
      <c r="C606" s="11">
        <v>45839</v>
      </c>
      <c r="D606" s="42" t="s">
        <v>65</v>
      </c>
      <c r="E606" s="1" t="s">
        <v>66</v>
      </c>
      <c r="F606" s="1" t="s">
        <v>67</v>
      </c>
      <c r="G606" s="1" t="s">
        <v>68</v>
      </c>
      <c r="H606" s="2" t="s">
        <v>69</v>
      </c>
      <c r="I606" s="1" t="s">
        <v>0</v>
      </c>
      <c r="J606" s="1" t="s">
        <v>9</v>
      </c>
      <c r="K606" s="1">
        <v>6</v>
      </c>
      <c r="L606" s="1">
        <v>506</v>
      </c>
      <c r="M606" s="28">
        <v>38663.46</v>
      </c>
      <c r="N606" s="39">
        <f>Data[[#This Row],[Gross Wages]]/Data[[#This Row],[No. of Hours Worked]]</f>
        <v>76.41</v>
      </c>
    </row>
    <row r="607" spans="1:14" x14ac:dyDescent="0.3">
      <c r="A607" s="3" t="s">
        <v>155</v>
      </c>
      <c r="B607" s="17">
        <v>2025</v>
      </c>
      <c r="C607" s="11">
        <v>45839</v>
      </c>
      <c r="D607" s="42" t="s">
        <v>65</v>
      </c>
      <c r="E607" s="1" t="s">
        <v>66</v>
      </c>
      <c r="F607" s="1" t="s">
        <v>70</v>
      </c>
      <c r="G607" s="1" t="s">
        <v>68</v>
      </c>
      <c r="H607" s="2" t="s">
        <v>71</v>
      </c>
      <c r="I607" s="1" t="s">
        <v>0</v>
      </c>
      <c r="J607" s="1" t="s">
        <v>9</v>
      </c>
      <c r="K607" s="1">
        <v>3</v>
      </c>
      <c r="L607" s="1">
        <v>80</v>
      </c>
      <c r="M607" s="28">
        <v>2435.2800000000002</v>
      </c>
      <c r="N607" s="39">
        <f>Data[[#This Row],[Gross Wages]]/Data[[#This Row],[No. of Hours Worked]]</f>
        <v>30.441000000000003</v>
      </c>
    </row>
    <row r="608" spans="1:14" x14ac:dyDescent="0.3">
      <c r="A608" s="3" t="s">
        <v>50</v>
      </c>
      <c r="B608" s="17">
        <v>2025</v>
      </c>
      <c r="C608" s="11">
        <v>45839</v>
      </c>
      <c r="D608" s="42" t="s">
        <v>65</v>
      </c>
      <c r="E608" s="1" t="s">
        <v>66</v>
      </c>
      <c r="F608" s="1" t="s">
        <v>100</v>
      </c>
      <c r="G608" s="1" t="s">
        <v>68</v>
      </c>
      <c r="H608" s="2" t="s">
        <v>101</v>
      </c>
      <c r="I608" s="1" t="s">
        <v>0</v>
      </c>
      <c r="J608" s="1" t="s">
        <v>9</v>
      </c>
      <c r="K608" s="1">
        <v>3</v>
      </c>
      <c r="L608" s="1">
        <v>20.65</v>
      </c>
      <c r="M608" s="28">
        <v>815.68</v>
      </c>
      <c r="N608" s="39">
        <f>Data[[#This Row],[Gross Wages]]/Data[[#This Row],[No. of Hours Worked]]</f>
        <v>39.500242130750607</v>
      </c>
    </row>
    <row r="609" spans="1:14" x14ac:dyDescent="0.3">
      <c r="A609" s="3" t="s">
        <v>159</v>
      </c>
      <c r="B609" s="1">
        <v>2025</v>
      </c>
      <c r="C609" s="11">
        <v>45839</v>
      </c>
      <c r="D609" s="42" t="s">
        <v>65</v>
      </c>
      <c r="E609" s="1" t="s">
        <v>66</v>
      </c>
      <c r="F609" s="1" t="s">
        <v>157</v>
      </c>
      <c r="G609" s="1" t="s">
        <v>68</v>
      </c>
      <c r="H609" s="2" t="s">
        <v>158</v>
      </c>
      <c r="I609" s="1" t="s">
        <v>0</v>
      </c>
      <c r="J609" s="1" t="s">
        <v>9</v>
      </c>
      <c r="K609" s="1">
        <v>1</v>
      </c>
      <c r="L609" s="1">
        <v>5.75</v>
      </c>
      <c r="M609" s="16">
        <v>220</v>
      </c>
      <c r="N609" s="39">
        <f>Data[[#This Row],[Gross Wages]]/Data[[#This Row],[No. of Hours Worked]]</f>
        <v>38.260869565217391</v>
      </c>
    </row>
    <row r="610" spans="1:14" x14ac:dyDescent="0.3">
      <c r="A610" s="3" t="s">
        <v>52</v>
      </c>
      <c r="B610" s="1">
        <v>2025</v>
      </c>
      <c r="C610" s="11">
        <v>45839</v>
      </c>
      <c r="D610" s="42" t="s">
        <v>65</v>
      </c>
      <c r="E610" s="1" t="s">
        <v>66</v>
      </c>
      <c r="F610" s="1" t="s">
        <v>90</v>
      </c>
      <c r="G610" s="1" t="s">
        <v>68</v>
      </c>
      <c r="H610" s="2" t="s">
        <v>99</v>
      </c>
      <c r="I610" s="1" t="s">
        <v>0</v>
      </c>
      <c r="J610" s="1" t="s">
        <v>9</v>
      </c>
      <c r="K610" s="1">
        <v>2</v>
      </c>
      <c r="L610" s="1">
        <v>202</v>
      </c>
      <c r="M610" s="28">
        <v>12051.59</v>
      </c>
      <c r="N610" s="39">
        <f>Data[[#This Row],[Gross Wages]]/Data[[#This Row],[No. of Hours Worked]]</f>
        <v>59.661336633663367</v>
      </c>
    </row>
    <row r="611" spans="1:14" x14ac:dyDescent="0.3">
      <c r="A611" s="3" t="s">
        <v>123</v>
      </c>
      <c r="B611" s="1">
        <v>2025</v>
      </c>
      <c r="C611" s="11">
        <v>45839</v>
      </c>
      <c r="D611" s="42" t="s">
        <v>65</v>
      </c>
      <c r="E611" s="17" t="s">
        <v>80</v>
      </c>
      <c r="F611" s="17" t="s">
        <v>151</v>
      </c>
      <c r="G611" s="17" t="s">
        <v>68</v>
      </c>
      <c r="H611" s="35" t="s">
        <v>152</v>
      </c>
      <c r="I611" s="17" t="s">
        <v>0</v>
      </c>
      <c r="J611" s="17" t="s">
        <v>9</v>
      </c>
      <c r="K611" s="17">
        <v>2</v>
      </c>
      <c r="L611" s="17">
        <v>200</v>
      </c>
      <c r="M611" s="43">
        <v>7790</v>
      </c>
      <c r="N611" s="39">
        <f>Data[[#This Row],[Gross Wages]]/Data[[#This Row],[No. of Hours Worked]]</f>
        <v>38.950000000000003</v>
      </c>
    </row>
    <row r="612" spans="1:14" x14ac:dyDescent="0.3">
      <c r="A612" s="3" t="s">
        <v>123</v>
      </c>
      <c r="B612" s="1">
        <v>2025</v>
      </c>
      <c r="C612" s="11">
        <v>45839</v>
      </c>
      <c r="D612" s="42" t="s">
        <v>65</v>
      </c>
      <c r="E612" s="1" t="s">
        <v>80</v>
      </c>
      <c r="F612" s="1" t="s">
        <v>151</v>
      </c>
      <c r="G612" s="1" t="s">
        <v>68</v>
      </c>
      <c r="H612" s="2" t="s">
        <v>152</v>
      </c>
      <c r="I612" s="1" t="s">
        <v>2</v>
      </c>
      <c r="J612" s="1" t="s">
        <v>9</v>
      </c>
      <c r="K612" s="1">
        <v>1</v>
      </c>
      <c r="L612" s="1">
        <v>139.5</v>
      </c>
      <c r="M612" s="16">
        <v>6401.25</v>
      </c>
      <c r="N612" s="39">
        <f>Data[[#This Row],[Gross Wages]]/Data[[#This Row],[No. of Hours Worked]]</f>
        <v>45.887096774193552</v>
      </c>
    </row>
    <row r="613" spans="1:14" x14ac:dyDescent="0.3">
      <c r="A613" s="3" t="s">
        <v>123</v>
      </c>
      <c r="B613" s="1">
        <v>2025</v>
      </c>
      <c r="C613" s="10">
        <v>45839</v>
      </c>
      <c r="D613" s="34" t="s">
        <v>65</v>
      </c>
      <c r="E613" s="1" t="s">
        <v>80</v>
      </c>
      <c r="F613" s="1" t="s">
        <v>151</v>
      </c>
      <c r="G613" s="1" t="s">
        <v>68</v>
      </c>
      <c r="H613" s="2" t="s">
        <v>152</v>
      </c>
      <c r="I613" s="1" t="s">
        <v>111</v>
      </c>
      <c r="J613" s="1" t="s">
        <v>9</v>
      </c>
      <c r="K613" s="1">
        <v>1</v>
      </c>
      <c r="L613" s="1">
        <v>131.5</v>
      </c>
      <c r="M613" s="16">
        <v>5693.95</v>
      </c>
      <c r="N613" s="39">
        <f>Data[[#This Row],[Gross Wages]]/Data[[#This Row],[No. of Hours Worked]]</f>
        <v>43.3</v>
      </c>
    </row>
    <row r="614" spans="1:14" x14ac:dyDescent="0.3">
      <c r="A614" s="3" t="s">
        <v>160</v>
      </c>
      <c r="B614" s="1">
        <v>2025</v>
      </c>
      <c r="C614" s="11">
        <v>45839</v>
      </c>
      <c r="D614" s="42" t="s">
        <v>65</v>
      </c>
      <c r="E614" s="1" t="s">
        <v>66</v>
      </c>
      <c r="F614" s="1" t="s">
        <v>70</v>
      </c>
      <c r="G614" s="1" t="s">
        <v>68</v>
      </c>
      <c r="H614" s="2" t="s">
        <v>71</v>
      </c>
      <c r="I614" s="1" t="s">
        <v>0</v>
      </c>
      <c r="J614" s="1" t="s">
        <v>9</v>
      </c>
      <c r="K614" s="1">
        <v>3</v>
      </c>
      <c r="L614" s="1">
        <v>51.26</v>
      </c>
      <c r="M614" s="28">
        <v>2453.81</v>
      </c>
      <c r="N614" s="39">
        <f>Data[[#This Row],[Gross Wages]]/Data[[#This Row],[No. of Hours Worked]]</f>
        <v>47.869879047990636</v>
      </c>
    </row>
    <row r="615" spans="1:14" x14ac:dyDescent="0.3">
      <c r="A615" s="3" t="s">
        <v>132</v>
      </c>
      <c r="B615" s="17">
        <v>2025</v>
      </c>
      <c r="C615" s="11">
        <v>45839</v>
      </c>
      <c r="D615" s="42" t="s">
        <v>65</v>
      </c>
      <c r="E615" s="1" t="s">
        <v>66</v>
      </c>
      <c r="F615" s="1" t="s">
        <v>133</v>
      </c>
      <c r="G615" s="1" t="s">
        <v>68</v>
      </c>
      <c r="H615" s="2" t="s">
        <v>134</v>
      </c>
      <c r="I615" s="1" t="s">
        <v>0</v>
      </c>
      <c r="J615" s="1" t="s">
        <v>9</v>
      </c>
      <c r="K615" s="1">
        <v>4</v>
      </c>
      <c r="L615" s="1">
        <v>199</v>
      </c>
      <c r="M615" s="28">
        <v>7984.4</v>
      </c>
      <c r="N615" s="39">
        <f>Data[[#This Row],[Gross Wages]]/Data[[#This Row],[No. of Hours Worked]]</f>
        <v>40.122613065326632</v>
      </c>
    </row>
    <row r="616" spans="1:14" x14ac:dyDescent="0.3">
      <c r="A616" s="3" t="s">
        <v>40</v>
      </c>
      <c r="B616" s="1">
        <v>2025</v>
      </c>
      <c r="C616" s="10">
        <v>45870</v>
      </c>
      <c r="D616" s="34" t="s">
        <v>65</v>
      </c>
      <c r="E616" s="1" t="s">
        <v>66</v>
      </c>
      <c r="F616" s="1" t="s">
        <v>91</v>
      </c>
      <c r="G616" s="1" t="s">
        <v>68</v>
      </c>
      <c r="H616" s="2" t="s">
        <v>92</v>
      </c>
      <c r="I616" s="1" t="s">
        <v>0</v>
      </c>
      <c r="J616" s="1" t="s">
        <v>9</v>
      </c>
      <c r="K616" s="1">
        <v>3</v>
      </c>
      <c r="L616" s="1">
        <v>112.5</v>
      </c>
      <c r="M616" s="28">
        <v>4438.1400000000003</v>
      </c>
      <c r="N616" s="39">
        <f>Data[[#This Row],[Gross Wages]]/Data[[#This Row],[No. of Hours Worked]]</f>
        <v>39.450133333333333</v>
      </c>
    </row>
    <row r="617" spans="1:14" x14ac:dyDescent="0.3">
      <c r="A617" s="3" t="s">
        <v>40</v>
      </c>
      <c r="B617" s="1">
        <v>2025</v>
      </c>
      <c r="C617" s="10">
        <v>45870</v>
      </c>
      <c r="D617" s="34" t="s">
        <v>65</v>
      </c>
      <c r="E617" s="1" t="s">
        <v>66</v>
      </c>
      <c r="F617" s="1" t="s">
        <v>91</v>
      </c>
      <c r="G617" s="1" t="s">
        <v>68</v>
      </c>
      <c r="H617" s="2" t="s">
        <v>92</v>
      </c>
      <c r="I617" s="1" t="s">
        <v>2</v>
      </c>
      <c r="J617" s="1" t="s">
        <v>9</v>
      </c>
      <c r="K617" s="1">
        <v>1</v>
      </c>
      <c r="L617" s="1">
        <v>1</v>
      </c>
      <c r="M617" s="28">
        <v>30</v>
      </c>
      <c r="N617" s="39">
        <f>Data[[#This Row],[Gross Wages]]/Data[[#This Row],[No. of Hours Worked]]</f>
        <v>30</v>
      </c>
    </row>
    <row r="618" spans="1:14" x14ac:dyDescent="0.3">
      <c r="A618" s="3" t="s">
        <v>40</v>
      </c>
      <c r="B618" s="1">
        <v>2025</v>
      </c>
      <c r="C618" s="11">
        <v>45870</v>
      </c>
      <c r="D618" s="42" t="s">
        <v>65</v>
      </c>
      <c r="E618" s="1" t="s">
        <v>66</v>
      </c>
      <c r="F618" s="1" t="s">
        <v>78</v>
      </c>
      <c r="G618" s="1" t="s">
        <v>68</v>
      </c>
      <c r="H618" s="2" t="s">
        <v>79</v>
      </c>
      <c r="I618" s="1" t="s">
        <v>0</v>
      </c>
      <c r="J618" s="1" t="s">
        <v>9</v>
      </c>
      <c r="K618" s="1">
        <v>1</v>
      </c>
      <c r="L618" s="1">
        <v>1</v>
      </c>
      <c r="M618" s="28">
        <v>41.66</v>
      </c>
      <c r="N618" s="39">
        <f>Data[[#This Row],[Gross Wages]]/Data[[#This Row],[No. of Hours Worked]]</f>
        <v>41.66</v>
      </c>
    </row>
    <row r="619" spans="1:14" x14ac:dyDescent="0.3">
      <c r="A619" s="3" t="s">
        <v>137</v>
      </c>
      <c r="B619" s="1">
        <v>2025</v>
      </c>
      <c r="C619" s="11">
        <v>45870</v>
      </c>
      <c r="D619" s="42" t="s">
        <v>65</v>
      </c>
      <c r="E619" s="1" t="s">
        <v>80</v>
      </c>
      <c r="F619" s="1" t="s">
        <v>138</v>
      </c>
      <c r="G619" s="1" t="s">
        <v>68</v>
      </c>
      <c r="H619" s="2" t="s">
        <v>139</v>
      </c>
      <c r="I619" s="1" t="s">
        <v>0</v>
      </c>
      <c r="J619" s="1" t="s">
        <v>9</v>
      </c>
      <c r="K619" s="1">
        <v>2</v>
      </c>
      <c r="L619" s="1">
        <v>257</v>
      </c>
      <c r="M619" s="28">
        <v>18797.73</v>
      </c>
      <c r="N619" s="39">
        <f>Data[[#This Row],[Gross Wages]]/Data[[#This Row],[No. of Hours Worked]]</f>
        <v>73.142918287937746</v>
      </c>
    </row>
    <row r="620" spans="1:14" x14ac:dyDescent="0.3">
      <c r="A620" s="3" t="s">
        <v>43</v>
      </c>
      <c r="B620" s="17">
        <v>2025</v>
      </c>
      <c r="C620" s="11">
        <v>45870</v>
      </c>
      <c r="D620" s="42" t="s">
        <v>65</v>
      </c>
      <c r="E620" s="1" t="s">
        <v>80</v>
      </c>
      <c r="F620" s="1" t="s">
        <v>88</v>
      </c>
      <c r="G620" s="1" t="s">
        <v>68</v>
      </c>
      <c r="H620" s="2" t="s">
        <v>89</v>
      </c>
      <c r="I620" s="1" t="s">
        <v>0</v>
      </c>
      <c r="J620" s="1" t="s">
        <v>9</v>
      </c>
      <c r="K620" s="1">
        <v>4</v>
      </c>
      <c r="L620" s="1">
        <v>475</v>
      </c>
      <c r="M620" s="28">
        <v>19003.599999999999</v>
      </c>
      <c r="N620" s="39">
        <f>Data[[#This Row],[Gross Wages]]/Data[[#This Row],[No. of Hours Worked]]</f>
        <v>40.007578947368415</v>
      </c>
    </row>
    <row r="621" spans="1:14" x14ac:dyDescent="0.3">
      <c r="A621" s="3" t="s">
        <v>45</v>
      </c>
      <c r="B621" s="17">
        <v>2025</v>
      </c>
      <c r="C621" s="11">
        <v>45870</v>
      </c>
      <c r="D621" s="42" t="s">
        <v>65</v>
      </c>
      <c r="E621" s="1" t="s">
        <v>66</v>
      </c>
      <c r="F621" s="1" t="s">
        <v>67</v>
      </c>
      <c r="G621" s="1" t="s">
        <v>68</v>
      </c>
      <c r="H621" s="2" t="s">
        <v>69</v>
      </c>
      <c r="I621" s="1" t="s">
        <v>0</v>
      </c>
      <c r="J621" s="1" t="s">
        <v>9</v>
      </c>
      <c r="K621" s="1">
        <v>6</v>
      </c>
      <c r="L621" s="1">
        <v>867</v>
      </c>
      <c r="M621" s="28">
        <v>40685.300000000003</v>
      </c>
      <c r="N621" s="39">
        <f>Data[[#This Row],[Gross Wages]]/Data[[#This Row],[No. of Hours Worked]]</f>
        <v>46.926528258362168</v>
      </c>
    </row>
    <row r="622" spans="1:14" x14ac:dyDescent="0.3">
      <c r="A622" s="3" t="s">
        <v>45</v>
      </c>
      <c r="B622" s="1">
        <v>2025</v>
      </c>
      <c r="C622" s="11">
        <v>45870</v>
      </c>
      <c r="D622" s="42" t="s">
        <v>65</v>
      </c>
      <c r="E622" s="1" t="s">
        <v>66</v>
      </c>
      <c r="F622" s="1" t="s">
        <v>67</v>
      </c>
      <c r="G622" s="1" t="s">
        <v>68</v>
      </c>
      <c r="H622" s="2" t="s">
        <v>69</v>
      </c>
      <c r="I622" s="1" t="s">
        <v>2</v>
      </c>
      <c r="J622" s="1" t="s">
        <v>10</v>
      </c>
      <c r="K622" s="1">
        <v>1</v>
      </c>
      <c r="L622" s="1">
        <v>160</v>
      </c>
      <c r="M622" s="28">
        <v>7721.6</v>
      </c>
      <c r="N622" s="39">
        <f>Data[[#This Row],[Gross Wages]]/Data[[#This Row],[No. of Hours Worked]]</f>
        <v>48.260000000000005</v>
      </c>
    </row>
    <row r="623" spans="1:14" x14ac:dyDescent="0.3">
      <c r="A623" s="3" t="s">
        <v>46</v>
      </c>
      <c r="B623" s="1">
        <v>2025</v>
      </c>
      <c r="C623" s="10">
        <v>45870</v>
      </c>
      <c r="D623" s="34" t="s">
        <v>65</v>
      </c>
      <c r="E623" s="1" t="s">
        <v>66</v>
      </c>
      <c r="F623" s="1" t="s">
        <v>70</v>
      </c>
      <c r="G623" s="1" t="s">
        <v>68</v>
      </c>
      <c r="H623" s="2" t="s">
        <v>71</v>
      </c>
      <c r="I623" s="1" t="s">
        <v>0</v>
      </c>
      <c r="J623" s="1" t="s">
        <v>9</v>
      </c>
      <c r="K623" s="1">
        <v>2</v>
      </c>
      <c r="L623" s="1">
        <v>192</v>
      </c>
      <c r="M623" s="28">
        <v>10114.08</v>
      </c>
      <c r="N623" s="39">
        <f>Data[[#This Row],[Gross Wages]]/Data[[#This Row],[No. of Hours Worked]]</f>
        <v>52.677500000000002</v>
      </c>
    </row>
    <row r="624" spans="1:14" x14ac:dyDescent="0.3">
      <c r="A624" s="3" t="s">
        <v>143</v>
      </c>
      <c r="B624" s="1">
        <v>2025</v>
      </c>
      <c r="C624" s="10">
        <v>45870</v>
      </c>
      <c r="D624" s="34" t="s">
        <v>65</v>
      </c>
      <c r="E624" s="1" t="s">
        <v>80</v>
      </c>
      <c r="F624" s="1" t="s">
        <v>130</v>
      </c>
      <c r="G624" s="1" t="s">
        <v>68</v>
      </c>
      <c r="H624" s="2" t="s">
        <v>131</v>
      </c>
      <c r="I624" s="1" t="s">
        <v>0</v>
      </c>
      <c r="J624" s="1" t="s">
        <v>9</v>
      </c>
      <c r="K624" s="1">
        <v>5</v>
      </c>
      <c r="L624" s="1">
        <v>354.25</v>
      </c>
      <c r="M624" s="28">
        <v>10659.99</v>
      </c>
      <c r="N624" s="39">
        <f>Data[[#This Row],[Gross Wages]]/Data[[#This Row],[No. of Hours Worked]]</f>
        <v>30.091714890613972</v>
      </c>
    </row>
    <row r="625" spans="1:14" x14ac:dyDescent="0.3">
      <c r="A625" s="3" t="s">
        <v>140</v>
      </c>
      <c r="B625" s="1">
        <v>2025</v>
      </c>
      <c r="C625" s="10">
        <v>45870</v>
      </c>
      <c r="D625" s="34" t="s">
        <v>65</v>
      </c>
      <c r="E625" s="1" t="s">
        <v>66</v>
      </c>
      <c r="F625" s="1" t="s">
        <v>70</v>
      </c>
      <c r="G625" s="1" t="s">
        <v>68</v>
      </c>
      <c r="H625" s="2" t="s">
        <v>71</v>
      </c>
      <c r="I625" s="1" t="s">
        <v>0</v>
      </c>
      <c r="J625" s="1" t="s">
        <v>9</v>
      </c>
      <c r="K625" s="1">
        <v>7</v>
      </c>
      <c r="L625" s="1">
        <v>936</v>
      </c>
      <c r="M625" s="16">
        <v>24392.560000000001</v>
      </c>
      <c r="N625" s="39">
        <f>Data[[#This Row],[Gross Wages]]/Data[[#This Row],[No. of Hours Worked]]</f>
        <v>26.060427350427354</v>
      </c>
    </row>
    <row r="626" spans="1:14" x14ac:dyDescent="0.3">
      <c r="A626" s="3" t="s">
        <v>140</v>
      </c>
      <c r="B626" s="1">
        <v>2025</v>
      </c>
      <c r="C626" s="10">
        <v>45870</v>
      </c>
      <c r="D626" s="34" t="s">
        <v>65</v>
      </c>
      <c r="E626" s="17" t="s">
        <v>66</v>
      </c>
      <c r="F626" s="17" t="s">
        <v>72</v>
      </c>
      <c r="G626" s="17" t="s">
        <v>73</v>
      </c>
      <c r="H626" s="35" t="s">
        <v>74</v>
      </c>
      <c r="I626" s="17" t="s">
        <v>0</v>
      </c>
      <c r="J626" s="17" t="s">
        <v>9</v>
      </c>
      <c r="K626" s="17">
        <v>3</v>
      </c>
      <c r="L626" s="17">
        <v>44</v>
      </c>
      <c r="M626" s="24">
        <v>1283.5999999999999</v>
      </c>
      <c r="N626" s="39">
        <f>Data[[#This Row],[Gross Wages]]/Data[[#This Row],[No. of Hours Worked]]</f>
        <v>29.172727272727272</v>
      </c>
    </row>
    <row r="627" spans="1:14" x14ac:dyDescent="0.3">
      <c r="A627" s="15" t="s">
        <v>140</v>
      </c>
      <c r="B627" s="1">
        <v>2025</v>
      </c>
      <c r="C627" s="10">
        <v>45870</v>
      </c>
      <c r="D627" s="34" t="s">
        <v>65</v>
      </c>
      <c r="E627" s="17" t="s">
        <v>66</v>
      </c>
      <c r="F627" s="17" t="s">
        <v>141</v>
      </c>
      <c r="G627" s="17" t="s">
        <v>68</v>
      </c>
      <c r="H627" s="35" t="s">
        <v>142</v>
      </c>
      <c r="I627" s="17" t="s">
        <v>0</v>
      </c>
      <c r="J627" s="17" t="s">
        <v>9</v>
      </c>
      <c r="K627" s="17">
        <v>3</v>
      </c>
      <c r="L627" s="17">
        <v>332</v>
      </c>
      <c r="M627" s="24">
        <v>9129.57</v>
      </c>
      <c r="N627" s="39">
        <f>Data[[#This Row],[Gross Wages]]/Data[[#This Row],[No. of Hours Worked]]</f>
        <v>27.498704819277108</v>
      </c>
    </row>
    <row r="628" spans="1:14" x14ac:dyDescent="0.3">
      <c r="A628" s="15" t="s">
        <v>106</v>
      </c>
      <c r="B628" s="1">
        <v>2025</v>
      </c>
      <c r="C628" s="11">
        <v>45870</v>
      </c>
      <c r="D628" s="42" t="s">
        <v>65</v>
      </c>
      <c r="E628" s="1" t="s">
        <v>66</v>
      </c>
      <c r="F628" s="1" t="s">
        <v>90</v>
      </c>
      <c r="G628" s="1" t="s">
        <v>68</v>
      </c>
      <c r="H628" s="2" t="s">
        <v>99</v>
      </c>
      <c r="I628" s="1" t="s">
        <v>0</v>
      </c>
      <c r="J628" s="1" t="s">
        <v>9</v>
      </c>
      <c r="K628" s="1">
        <v>2</v>
      </c>
      <c r="L628" s="1">
        <v>54</v>
      </c>
      <c r="M628" s="28">
        <v>2411.62</v>
      </c>
      <c r="N628" s="39">
        <f>Data[[#This Row],[Gross Wages]]/Data[[#This Row],[No. of Hours Worked]]</f>
        <v>44.659629629629627</v>
      </c>
    </row>
    <row r="629" spans="1:14" x14ac:dyDescent="0.3">
      <c r="A629" s="15" t="s">
        <v>106</v>
      </c>
      <c r="B629" s="17">
        <v>2025</v>
      </c>
      <c r="C629" s="11">
        <v>45870</v>
      </c>
      <c r="D629" s="42" t="s">
        <v>65</v>
      </c>
      <c r="E629" s="1" t="s">
        <v>66</v>
      </c>
      <c r="F629" s="1" t="s">
        <v>104</v>
      </c>
      <c r="G629" s="1" t="s">
        <v>68</v>
      </c>
      <c r="H629" s="2" t="s">
        <v>105</v>
      </c>
      <c r="I629" s="1" t="s">
        <v>0</v>
      </c>
      <c r="J629" s="1" t="s">
        <v>9</v>
      </c>
      <c r="K629" s="1">
        <v>2</v>
      </c>
      <c r="L629" s="1">
        <v>16</v>
      </c>
      <c r="M629" s="28">
        <v>1247.4000000000001</v>
      </c>
      <c r="N629" s="39">
        <f>Data[[#This Row],[Gross Wages]]/Data[[#This Row],[No. of Hours Worked]]</f>
        <v>77.962500000000006</v>
      </c>
    </row>
    <row r="630" spans="1:14" x14ac:dyDescent="0.3">
      <c r="A630" s="3" t="s">
        <v>112</v>
      </c>
      <c r="B630" s="1">
        <v>2025</v>
      </c>
      <c r="C630" s="11">
        <v>45870</v>
      </c>
      <c r="D630" s="42" t="s">
        <v>65</v>
      </c>
      <c r="E630" s="1" t="s">
        <v>66</v>
      </c>
      <c r="F630" s="1" t="s">
        <v>109</v>
      </c>
      <c r="G630" s="1" t="s">
        <v>68</v>
      </c>
      <c r="H630" s="2" t="s">
        <v>110</v>
      </c>
      <c r="I630" s="1" t="s">
        <v>0</v>
      </c>
      <c r="J630" s="1" t="s">
        <v>9</v>
      </c>
      <c r="K630" s="1">
        <v>2</v>
      </c>
      <c r="L630" s="1">
        <v>156</v>
      </c>
      <c r="M630" s="28">
        <v>4399.2</v>
      </c>
      <c r="N630" s="39">
        <f>Data[[#This Row],[Gross Wages]]/Data[[#This Row],[No. of Hours Worked]]</f>
        <v>28.2</v>
      </c>
    </row>
    <row r="631" spans="1:14" x14ac:dyDescent="0.3">
      <c r="A631" s="3" t="s">
        <v>112</v>
      </c>
      <c r="B631" s="1">
        <v>2025</v>
      </c>
      <c r="C631" s="10">
        <v>45870</v>
      </c>
      <c r="D631" s="34" t="s">
        <v>65</v>
      </c>
      <c r="E631" s="1" t="s">
        <v>66</v>
      </c>
      <c r="F631" s="1" t="s">
        <v>109</v>
      </c>
      <c r="G631" s="1" t="s">
        <v>68</v>
      </c>
      <c r="H631" s="2" t="s">
        <v>110</v>
      </c>
      <c r="I631" s="1" t="s">
        <v>0</v>
      </c>
      <c r="J631" s="1" t="s">
        <v>10</v>
      </c>
      <c r="K631" s="1">
        <v>1</v>
      </c>
      <c r="L631" s="1">
        <v>140</v>
      </c>
      <c r="M631" s="28">
        <v>2520</v>
      </c>
      <c r="N631" s="39">
        <f>Data[[#This Row],[Gross Wages]]/Data[[#This Row],[No. of Hours Worked]]</f>
        <v>18</v>
      </c>
    </row>
    <row r="632" spans="1:14" x14ac:dyDescent="0.3">
      <c r="A632" s="3" t="s">
        <v>128</v>
      </c>
      <c r="B632" s="17">
        <v>2025</v>
      </c>
      <c r="C632" s="11">
        <v>45870</v>
      </c>
      <c r="D632" s="42" t="s">
        <v>65</v>
      </c>
      <c r="E632" s="1" t="s">
        <v>66</v>
      </c>
      <c r="F632" s="1" t="s">
        <v>97</v>
      </c>
      <c r="G632" s="1" t="s">
        <v>68</v>
      </c>
      <c r="H632" s="2" t="s">
        <v>98</v>
      </c>
      <c r="I632" s="1" t="s">
        <v>0</v>
      </c>
      <c r="J632" s="1" t="s">
        <v>9</v>
      </c>
      <c r="K632" s="1">
        <v>2</v>
      </c>
      <c r="L632" s="1">
        <v>16</v>
      </c>
      <c r="M632" s="28">
        <v>586.88</v>
      </c>
      <c r="N632" s="39">
        <f>Data[[#This Row],[Gross Wages]]/Data[[#This Row],[No. of Hours Worked]]</f>
        <v>36.68</v>
      </c>
    </row>
    <row r="633" spans="1:14" x14ac:dyDescent="0.3">
      <c r="A633" s="3" t="s">
        <v>48</v>
      </c>
      <c r="B633" s="1">
        <v>2025</v>
      </c>
      <c r="C633" s="10">
        <v>45870</v>
      </c>
      <c r="D633" s="34" t="s">
        <v>65</v>
      </c>
      <c r="E633" s="17" t="s">
        <v>66</v>
      </c>
      <c r="F633" s="17" t="s">
        <v>84</v>
      </c>
      <c r="G633" s="17" t="s">
        <v>68</v>
      </c>
      <c r="H633" s="35" t="s">
        <v>85</v>
      </c>
      <c r="I633" s="17" t="s">
        <v>1</v>
      </c>
      <c r="J633" s="17" t="s">
        <v>9</v>
      </c>
      <c r="K633" s="17">
        <v>1</v>
      </c>
      <c r="L633" s="17">
        <v>35</v>
      </c>
      <c r="M633" s="43">
        <v>1218.3699999999999</v>
      </c>
      <c r="N633" s="39">
        <f>Data[[#This Row],[Gross Wages]]/Data[[#This Row],[No. of Hours Worked]]</f>
        <v>34.810571428571428</v>
      </c>
    </row>
    <row r="634" spans="1:14" x14ac:dyDescent="0.3">
      <c r="A634" s="3" t="s">
        <v>48</v>
      </c>
      <c r="B634" s="1">
        <v>2025</v>
      </c>
      <c r="C634" s="10">
        <v>45870</v>
      </c>
      <c r="D634" s="34" t="s">
        <v>65</v>
      </c>
      <c r="E634" s="1" t="s">
        <v>66</v>
      </c>
      <c r="F634" s="1" t="s">
        <v>84</v>
      </c>
      <c r="G634" s="1" t="s">
        <v>68</v>
      </c>
      <c r="H634" s="2" t="s">
        <v>85</v>
      </c>
      <c r="I634" s="1" t="s">
        <v>0</v>
      </c>
      <c r="J634" s="1" t="s">
        <v>9</v>
      </c>
      <c r="K634" s="1">
        <v>16</v>
      </c>
      <c r="L634" s="59">
        <v>1567</v>
      </c>
      <c r="M634" s="16">
        <v>71040.86</v>
      </c>
      <c r="N634" s="39">
        <f>Data[[#This Row],[Gross Wages]]/Data[[#This Row],[No. of Hours Worked]]</f>
        <v>45.335583918315251</v>
      </c>
    </row>
    <row r="635" spans="1:14" x14ac:dyDescent="0.3">
      <c r="A635" s="3" t="s">
        <v>48</v>
      </c>
      <c r="B635" s="1">
        <v>2025</v>
      </c>
      <c r="C635" s="11">
        <v>45870</v>
      </c>
      <c r="D635" s="42" t="s">
        <v>65</v>
      </c>
      <c r="E635" s="1" t="s">
        <v>66</v>
      </c>
      <c r="F635" s="1" t="s">
        <v>84</v>
      </c>
      <c r="G635" s="1" t="s">
        <v>68</v>
      </c>
      <c r="H635" s="2" t="s">
        <v>85</v>
      </c>
      <c r="I635" s="1" t="s">
        <v>0</v>
      </c>
      <c r="J635" s="1" t="s">
        <v>9</v>
      </c>
      <c r="K635" s="1">
        <v>7</v>
      </c>
      <c r="L635" s="1">
        <v>544</v>
      </c>
      <c r="M635" s="28">
        <v>23486.23</v>
      </c>
      <c r="N635" s="39">
        <f>Data[[#This Row],[Gross Wages]]/Data[[#This Row],[No. of Hours Worked]]</f>
        <v>43.173216911764705</v>
      </c>
    </row>
    <row r="636" spans="1:14" x14ac:dyDescent="0.3">
      <c r="A636" s="3" t="s">
        <v>48</v>
      </c>
      <c r="B636" s="17">
        <v>2025</v>
      </c>
      <c r="C636" s="11">
        <v>45870</v>
      </c>
      <c r="D636" s="42" t="s">
        <v>65</v>
      </c>
      <c r="E636" s="1" t="s">
        <v>66</v>
      </c>
      <c r="F636" s="1" t="s">
        <v>84</v>
      </c>
      <c r="G636" s="1" t="s">
        <v>68</v>
      </c>
      <c r="H636" s="2" t="s">
        <v>85</v>
      </c>
      <c r="I636" s="1" t="s">
        <v>1</v>
      </c>
      <c r="J636" s="1" t="s">
        <v>9</v>
      </c>
      <c r="K636" s="1">
        <v>1</v>
      </c>
      <c r="L636" s="1">
        <v>9</v>
      </c>
      <c r="M636" s="28">
        <v>317.11</v>
      </c>
      <c r="N636" s="39">
        <f>Data[[#This Row],[Gross Wages]]/Data[[#This Row],[No. of Hours Worked]]</f>
        <v>35.234444444444449</v>
      </c>
    </row>
    <row r="637" spans="1:14" x14ac:dyDescent="0.3">
      <c r="A637" s="3" t="s">
        <v>154</v>
      </c>
      <c r="B637" s="1">
        <v>2025</v>
      </c>
      <c r="C637" s="10">
        <v>45870</v>
      </c>
      <c r="D637" s="34" t="s">
        <v>65</v>
      </c>
      <c r="E637" s="1" t="s">
        <v>80</v>
      </c>
      <c r="F637" s="1" t="s">
        <v>130</v>
      </c>
      <c r="G637" s="1" t="s">
        <v>68</v>
      </c>
      <c r="H637" s="2" t="s">
        <v>131</v>
      </c>
      <c r="I637" s="1" t="s">
        <v>2</v>
      </c>
      <c r="J637" s="1" t="s">
        <v>9</v>
      </c>
      <c r="K637" s="1">
        <v>1</v>
      </c>
      <c r="L637" s="1">
        <v>32</v>
      </c>
      <c r="M637" s="16">
        <v>1648</v>
      </c>
      <c r="N637" s="39">
        <f>Data[[#This Row],[Gross Wages]]/Data[[#This Row],[No. of Hours Worked]]</f>
        <v>51.5</v>
      </c>
    </row>
    <row r="638" spans="1:14" x14ac:dyDescent="0.3">
      <c r="A638" s="3" t="s">
        <v>154</v>
      </c>
      <c r="B638" s="1">
        <v>2025</v>
      </c>
      <c r="C638" s="11">
        <v>45870</v>
      </c>
      <c r="D638" s="42" t="s">
        <v>65</v>
      </c>
      <c r="E638" s="1" t="s">
        <v>80</v>
      </c>
      <c r="F638" s="1" t="s">
        <v>130</v>
      </c>
      <c r="G638" s="1" t="s">
        <v>68</v>
      </c>
      <c r="H638" s="2" t="s">
        <v>131</v>
      </c>
      <c r="I638" s="1" t="s">
        <v>0</v>
      </c>
      <c r="J638" s="1" t="s">
        <v>9</v>
      </c>
      <c r="K638" s="1">
        <v>1</v>
      </c>
      <c r="L638" s="1">
        <v>8</v>
      </c>
      <c r="M638" s="16">
        <v>412</v>
      </c>
      <c r="N638" s="39">
        <f>Data[[#This Row],[Gross Wages]]/Data[[#This Row],[No. of Hours Worked]]</f>
        <v>51.5</v>
      </c>
    </row>
    <row r="639" spans="1:14" x14ac:dyDescent="0.3">
      <c r="A639" s="3" t="s">
        <v>49</v>
      </c>
      <c r="B639" s="1">
        <v>2025</v>
      </c>
      <c r="C639" s="10">
        <v>45870</v>
      </c>
      <c r="D639" s="34" t="s">
        <v>65</v>
      </c>
      <c r="E639" s="1" t="s">
        <v>66</v>
      </c>
      <c r="F639" s="1" t="s">
        <v>67</v>
      </c>
      <c r="G639" s="1" t="s">
        <v>68</v>
      </c>
      <c r="H639" s="2" t="s">
        <v>69</v>
      </c>
      <c r="I639" s="1" t="s">
        <v>0</v>
      </c>
      <c r="J639" s="1" t="s">
        <v>9</v>
      </c>
      <c r="K639" s="1">
        <v>6</v>
      </c>
      <c r="L639" s="1">
        <v>552</v>
      </c>
      <c r="M639" s="16">
        <v>42383.43</v>
      </c>
      <c r="N639" s="39">
        <f>Data[[#This Row],[Gross Wages]]/Data[[#This Row],[No. of Hours Worked]]</f>
        <v>76.78157608695652</v>
      </c>
    </row>
    <row r="640" spans="1:14" x14ac:dyDescent="0.3">
      <c r="A640" s="3" t="s">
        <v>155</v>
      </c>
      <c r="B640" s="17">
        <v>2025</v>
      </c>
      <c r="C640" s="11">
        <v>45870</v>
      </c>
      <c r="D640" s="42" t="s">
        <v>65</v>
      </c>
      <c r="E640" s="1" t="s">
        <v>66</v>
      </c>
      <c r="F640" s="1" t="s">
        <v>70</v>
      </c>
      <c r="G640" s="1" t="s">
        <v>68</v>
      </c>
      <c r="H640" s="2" t="s">
        <v>71</v>
      </c>
      <c r="I640" s="1" t="s">
        <v>0</v>
      </c>
      <c r="J640" s="1" t="s">
        <v>9</v>
      </c>
      <c r="K640" s="1">
        <v>3</v>
      </c>
      <c r="L640" s="1">
        <v>46</v>
      </c>
      <c r="M640" s="28">
        <v>1613.64</v>
      </c>
      <c r="N640" s="39">
        <f>Data[[#This Row],[Gross Wages]]/Data[[#This Row],[No. of Hours Worked]]</f>
        <v>35.079130434782613</v>
      </c>
    </row>
    <row r="641" spans="1:14" x14ac:dyDescent="0.3">
      <c r="A641" s="3" t="s">
        <v>52</v>
      </c>
      <c r="B641" s="17">
        <v>2025</v>
      </c>
      <c r="C641" s="11">
        <v>45870</v>
      </c>
      <c r="D641" s="42" t="s">
        <v>65</v>
      </c>
      <c r="E641" s="1" t="s">
        <v>66</v>
      </c>
      <c r="F641" s="1" t="s">
        <v>90</v>
      </c>
      <c r="G641" s="1" t="s">
        <v>68</v>
      </c>
      <c r="H641" s="2" t="s">
        <v>99</v>
      </c>
      <c r="I641" s="1" t="s">
        <v>0</v>
      </c>
      <c r="J641" s="1" t="s">
        <v>9</v>
      </c>
      <c r="K641" s="1">
        <v>2</v>
      </c>
      <c r="L641" s="1">
        <v>120</v>
      </c>
      <c r="M641" s="28">
        <v>8137.32</v>
      </c>
      <c r="N641" s="39">
        <f>Data[[#This Row],[Gross Wages]]/Data[[#This Row],[No. of Hours Worked]]</f>
        <v>67.810999999999993</v>
      </c>
    </row>
    <row r="642" spans="1:14" x14ac:dyDescent="0.3">
      <c r="A642" s="3" t="s">
        <v>123</v>
      </c>
      <c r="B642" s="1">
        <v>2025</v>
      </c>
      <c r="C642" s="11">
        <v>45870</v>
      </c>
      <c r="D642" s="42" t="s">
        <v>65</v>
      </c>
      <c r="E642" s="1" t="s">
        <v>80</v>
      </c>
      <c r="F642" s="1" t="s">
        <v>151</v>
      </c>
      <c r="G642" s="1" t="s">
        <v>68</v>
      </c>
      <c r="H642" s="2" t="s">
        <v>152</v>
      </c>
      <c r="I642" s="1" t="s">
        <v>0</v>
      </c>
      <c r="J642" s="1" t="s">
        <v>9</v>
      </c>
      <c r="K642" s="1">
        <v>5</v>
      </c>
      <c r="L642" s="1">
        <v>310</v>
      </c>
      <c r="M642" s="28">
        <v>12294.34</v>
      </c>
      <c r="N642" s="39">
        <f>Data[[#This Row],[Gross Wages]]/Data[[#This Row],[No. of Hours Worked]]</f>
        <v>39.659161290322579</v>
      </c>
    </row>
    <row r="643" spans="1:14" x14ac:dyDescent="0.3">
      <c r="A643" s="3" t="s">
        <v>160</v>
      </c>
      <c r="B643" s="1">
        <v>2025</v>
      </c>
      <c r="C643" s="11">
        <v>45870</v>
      </c>
      <c r="D643" s="42" t="s">
        <v>65</v>
      </c>
      <c r="E643" s="1" t="s">
        <v>66</v>
      </c>
      <c r="F643" s="1" t="s">
        <v>70</v>
      </c>
      <c r="G643" s="1" t="s">
        <v>68</v>
      </c>
      <c r="H643" s="2" t="s">
        <v>71</v>
      </c>
      <c r="I643" s="1" t="s">
        <v>0</v>
      </c>
      <c r="J643" s="1" t="s">
        <v>9</v>
      </c>
      <c r="K643" s="1">
        <v>4</v>
      </c>
      <c r="L643" s="1">
        <v>79.680000000000007</v>
      </c>
      <c r="M643" s="28">
        <v>3927.45</v>
      </c>
      <c r="N643" s="39">
        <f>Data[[#This Row],[Gross Wages]]/Data[[#This Row],[No. of Hours Worked]]</f>
        <v>49.29028614457831</v>
      </c>
    </row>
    <row r="644" spans="1:14" x14ac:dyDescent="0.3">
      <c r="A644" s="3" t="s">
        <v>132</v>
      </c>
      <c r="B644" s="1">
        <v>2025</v>
      </c>
      <c r="C644" s="11">
        <v>45870</v>
      </c>
      <c r="D644" s="42" t="s">
        <v>65</v>
      </c>
      <c r="E644" s="1" t="s">
        <v>66</v>
      </c>
      <c r="F644" s="1" t="s">
        <v>133</v>
      </c>
      <c r="G644" s="1" t="s">
        <v>68</v>
      </c>
      <c r="H644" s="2" t="s">
        <v>134</v>
      </c>
      <c r="I644" s="1" t="s">
        <v>0</v>
      </c>
      <c r="J644" s="1" t="s">
        <v>9</v>
      </c>
      <c r="K644" s="1">
        <v>1</v>
      </c>
      <c r="L644" s="1">
        <v>14</v>
      </c>
      <c r="M644" s="28">
        <v>669.76</v>
      </c>
      <c r="N644" s="39">
        <f>Data[[#This Row],[Gross Wages]]/Data[[#This Row],[No. of Hours Worked]]</f>
        <v>47.839999999999996</v>
      </c>
    </row>
    <row r="645" spans="1:14" x14ac:dyDescent="0.3">
      <c r="A645" s="3" t="s">
        <v>132</v>
      </c>
      <c r="B645" s="1">
        <v>2025</v>
      </c>
      <c r="C645" s="10">
        <v>45870</v>
      </c>
      <c r="D645" s="34" t="s">
        <v>65</v>
      </c>
      <c r="E645" s="1" t="s">
        <v>66</v>
      </c>
      <c r="F645" s="1" t="s">
        <v>125</v>
      </c>
      <c r="G645" s="1" t="s">
        <v>68</v>
      </c>
      <c r="H645" s="2" t="s">
        <v>126</v>
      </c>
      <c r="I645" s="1" t="s">
        <v>0</v>
      </c>
      <c r="J645" s="1" t="s">
        <v>9</v>
      </c>
      <c r="K645" s="1">
        <v>1</v>
      </c>
      <c r="L645" s="1">
        <v>4</v>
      </c>
      <c r="M645" s="28">
        <v>137.96</v>
      </c>
      <c r="N645" s="39">
        <f>Data[[#This Row],[Gross Wages]]/Data[[#This Row],[No. of Hours Worked]]</f>
        <v>34.49</v>
      </c>
    </row>
    <row r="646" spans="1:14" x14ac:dyDescent="0.3">
      <c r="A646" s="3" t="s">
        <v>40</v>
      </c>
      <c r="B646" s="1">
        <v>2025</v>
      </c>
      <c r="C646" s="10">
        <v>45901</v>
      </c>
      <c r="D646" s="34" t="s">
        <v>65</v>
      </c>
      <c r="E646" s="1" t="s">
        <v>66</v>
      </c>
      <c r="F646" s="1" t="s">
        <v>91</v>
      </c>
      <c r="G646" s="1" t="s">
        <v>68</v>
      </c>
      <c r="H646" s="2" t="s">
        <v>92</v>
      </c>
      <c r="I646" s="1" t="s">
        <v>0</v>
      </c>
      <c r="J646" s="1" t="s">
        <v>9</v>
      </c>
      <c r="K646" s="1">
        <v>2</v>
      </c>
      <c r="L646" s="1">
        <v>75</v>
      </c>
      <c r="M646" s="28">
        <v>3160.69</v>
      </c>
      <c r="N646" s="39">
        <f>Data[[#This Row],[Gross Wages]]/Data[[#This Row],[No. of Hours Worked]]</f>
        <v>42.142533333333333</v>
      </c>
    </row>
    <row r="647" spans="1:14" x14ac:dyDescent="0.3">
      <c r="A647" s="3" t="s">
        <v>137</v>
      </c>
      <c r="B647" s="1">
        <v>2025</v>
      </c>
      <c r="C647" s="11">
        <v>45901</v>
      </c>
      <c r="D647" s="42" t="s">
        <v>65</v>
      </c>
      <c r="E647" s="1" t="s">
        <v>80</v>
      </c>
      <c r="F647" s="1" t="s">
        <v>138</v>
      </c>
      <c r="G647" s="1" t="s">
        <v>68</v>
      </c>
      <c r="H647" s="2" t="s">
        <v>139</v>
      </c>
      <c r="I647" s="1" t="s">
        <v>0</v>
      </c>
      <c r="J647" s="1" t="s">
        <v>9</v>
      </c>
      <c r="K647" s="1">
        <v>2</v>
      </c>
      <c r="L647" s="1">
        <v>247.5</v>
      </c>
      <c r="M647" s="28">
        <v>18260.89</v>
      </c>
      <c r="N647" s="39">
        <f>Data[[#This Row],[Gross Wages]]/Data[[#This Row],[No. of Hours Worked]]</f>
        <v>73.781373737373741</v>
      </c>
    </row>
    <row r="648" spans="1:14" x14ac:dyDescent="0.3">
      <c r="A648" s="3" t="s">
        <v>137</v>
      </c>
      <c r="B648" s="1">
        <v>2025</v>
      </c>
      <c r="C648" s="11">
        <v>45901</v>
      </c>
      <c r="D648" s="42" t="s">
        <v>65</v>
      </c>
      <c r="E648" s="1" t="s">
        <v>80</v>
      </c>
      <c r="F648" s="1" t="s">
        <v>138</v>
      </c>
      <c r="G648" s="1" t="s">
        <v>68</v>
      </c>
      <c r="H648" s="2" t="s">
        <v>139</v>
      </c>
      <c r="I648" s="1" t="s">
        <v>1</v>
      </c>
      <c r="J648" s="1" t="s">
        <v>9</v>
      </c>
      <c r="K648" s="1">
        <v>1</v>
      </c>
      <c r="L648" s="1">
        <v>61.75</v>
      </c>
      <c r="M648" s="28">
        <v>4687.4399999999996</v>
      </c>
      <c r="N648" s="39">
        <f>Data[[#This Row],[Gross Wages]]/Data[[#This Row],[No. of Hours Worked]]</f>
        <v>75.909959514170041</v>
      </c>
    </row>
    <row r="649" spans="1:14" x14ac:dyDescent="0.3">
      <c r="A649" s="3" t="s">
        <v>43</v>
      </c>
      <c r="B649" s="1">
        <v>2025</v>
      </c>
      <c r="C649" s="11">
        <v>45901</v>
      </c>
      <c r="D649" s="42" t="s">
        <v>65</v>
      </c>
      <c r="E649" s="17" t="s">
        <v>80</v>
      </c>
      <c r="F649" s="17" t="s">
        <v>88</v>
      </c>
      <c r="G649" s="17" t="s">
        <v>68</v>
      </c>
      <c r="H649" s="35" t="s">
        <v>89</v>
      </c>
      <c r="I649" s="1" t="s">
        <v>0</v>
      </c>
      <c r="J649" s="17" t="s">
        <v>9</v>
      </c>
      <c r="K649" s="17">
        <v>2</v>
      </c>
      <c r="L649" s="17">
        <v>280</v>
      </c>
      <c r="M649" s="43">
        <v>16008.84</v>
      </c>
      <c r="N649" s="39">
        <f>Data[[#This Row],[Gross Wages]]/Data[[#This Row],[No. of Hours Worked]]</f>
        <v>57.174428571428571</v>
      </c>
    </row>
    <row r="650" spans="1:14" x14ac:dyDescent="0.3">
      <c r="A650" s="15" t="s">
        <v>45</v>
      </c>
      <c r="B650" s="1">
        <v>2025</v>
      </c>
      <c r="C650" s="10">
        <v>45901</v>
      </c>
      <c r="D650" s="34" t="s">
        <v>65</v>
      </c>
      <c r="E650" s="1" t="s">
        <v>66</v>
      </c>
      <c r="F650" s="1" t="s">
        <v>67</v>
      </c>
      <c r="G650" s="1" t="s">
        <v>68</v>
      </c>
      <c r="H650" s="2" t="s">
        <v>69</v>
      </c>
      <c r="I650" s="1" t="s">
        <v>0</v>
      </c>
      <c r="J650" s="1" t="s">
        <v>9</v>
      </c>
      <c r="K650" s="1">
        <v>6</v>
      </c>
      <c r="L650" s="1">
        <v>840</v>
      </c>
      <c r="M650" s="16">
        <v>39851.75</v>
      </c>
      <c r="N650" s="39">
        <f>Data[[#This Row],[Gross Wages]]/Data[[#This Row],[No. of Hours Worked]]</f>
        <v>47.442559523809521</v>
      </c>
    </row>
    <row r="651" spans="1:14" x14ac:dyDescent="0.3">
      <c r="A651" s="15" t="s">
        <v>45</v>
      </c>
      <c r="B651" s="1">
        <v>2025</v>
      </c>
      <c r="C651" s="11">
        <v>45901</v>
      </c>
      <c r="D651" s="42" t="s">
        <v>65</v>
      </c>
      <c r="E651" s="1" t="s">
        <v>66</v>
      </c>
      <c r="F651" s="1" t="s">
        <v>67</v>
      </c>
      <c r="G651" s="1" t="s">
        <v>68</v>
      </c>
      <c r="H651" s="2" t="s">
        <v>69</v>
      </c>
      <c r="I651" s="1" t="s">
        <v>2</v>
      </c>
      <c r="J651" s="1" t="s">
        <v>10</v>
      </c>
      <c r="K651" s="1">
        <v>1</v>
      </c>
      <c r="L651" s="1">
        <v>136</v>
      </c>
      <c r="M651" s="16">
        <v>6563.36</v>
      </c>
      <c r="N651" s="39">
        <f>Data[[#This Row],[Gross Wages]]/Data[[#This Row],[No. of Hours Worked]]</f>
        <v>48.26</v>
      </c>
    </row>
    <row r="652" spans="1:14" x14ac:dyDescent="0.3">
      <c r="A652" s="3" t="s">
        <v>46</v>
      </c>
      <c r="B652" s="1">
        <v>2025</v>
      </c>
      <c r="C652" s="10">
        <v>45901</v>
      </c>
      <c r="D652" s="34" t="s">
        <v>65</v>
      </c>
      <c r="E652" s="1" t="s">
        <v>66</v>
      </c>
      <c r="F652" s="1" t="s">
        <v>70</v>
      </c>
      <c r="G652" s="1" t="s">
        <v>68</v>
      </c>
      <c r="H652" s="2" t="s">
        <v>71</v>
      </c>
      <c r="I652" s="1" t="s">
        <v>0</v>
      </c>
      <c r="J652" s="1" t="s">
        <v>9</v>
      </c>
      <c r="K652" s="1">
        <v>2</v>
      </c>
      <c r="L652" s="1">
        <v>192</v>
      </c>
      <c r="M652" s="28">
        <v>10114.08</v>
      </c>
      <c r="N652" s="39">
        <f>Data[[#This Row],[Gross Wages]]/Data[[#This Row],[No. of Hours Worked]]</f>
        <v>52.677500000000002</v>
      </c>
    </row>
    <row r="653" spans="1:14" x14ac:dyDescent="0.3">
      <c r="A653" s="3" t="s">
        <v>143</v>
      </c>
      <c r="B653" s="1">
        <v>2025</v>
      </c>
      <c r="C653" s="10">
        <v>45901</v>
      </c>
      <c r="D653" s="34" t="s">
        <v>65</v>
      </c>
      <c r="E653" s="1" t="s">
        <v>80</v>
      </c>
      <c r="F653" s="1" t="s">
        <v>130</v>
      </c>
      <c r="G653" s="1" t="s">
        <v>68</v>
      </c>
      <c r="H653" s="2" t="s">
        <v>131</v>
      </c>
      <c r="I653" s="1" t="s">
        <v>0</v>
      </c>
      <c r="J653" s="1" t="s">
        <v>9</v>
      </c>
      <c r="K653" s="1">
        <v>4</v>
      </c>
      <c r="L653" s="1">
        <v>138.5</v>
      </c>
      <c r="M653" s="28">
        <v>4134.26</v>
      </c>
      <c r="N653" s="39">
        <f>Data[[#This Row],[Gross Wages]]/Data[[#This Row],[No. of Hours Worked]]</f>
        <v>29.85025270758123</v>
      </c>
    </row>
    <row r="654" spans="1:14" x14ac:dyDescent="0.3">
      <c r="A654" s="3" t="s">
        <v>140</v>
      </c>
      <c r="B654" s="1">
        <v>2025</v>
      </c>
      <c r="C654" s="11">
        <v>45901</v>
      </c>
      <c r="D654" s="42" t="s">
        <v>65</v>
      </c>
      <c r="E654" s="1" t="s">
        <v>66</v>
      </c>
      <c r="F654" s="1" t="s">
        <v>70</v>
      </c>
      <c r="G654" s="1" t="s">
        <v>68</v>
      </c>
      <c r="H654" s="2" t="s">
        <v>71</v>
      </c>
      <c r="I654" s="1" t="s">
        <v>0</v>
      </c>
      <c r="J654" s="1" t="s">
        <v>9</v>
      </c>
      <c r="K654" s="1">
        <v>9</v>
      </c>
      <c r="L654" s="1">
        <v>977</v>
      </c>
      <c r="M654" s="28">
        <v>23217.599999999999</v>
      </c>
      <c r="N654" s="39">
        <f>Data[[#This Row],[Gross Wages]]/Data[[#This Row],[No. of Hours Worked]]</f>
        <v>23.76417604912999</v>
      </c>
    </row>
    <row r="655" spans="1:14" ht="13.8" customHeight="1" x14ac:dyDescent="0.3">
      <c r="A655" s="15" t="s">
        <v>140</v>
      </c>
      <c r="B655" s="1">
        <v>2025</v>
      </c>
      <c r="C655" s="10">
        <v>45901</v>
      </c>
      <c r="D655" s="34" t="s">
        <v>65</v>
      </c>
      <c r="E655" s="1" t="s">
        <v>66</v>
      </c>
      <c r="F655" s="1" t="s">
        <v>72</v>
      </c>
      <c r="G655" s="1" t="s">
        <v>73</v>
      </c>
      <c r="H655" s="2" t="s">
        <v>74</v>
      </c>
      <c r="I655" s="1" t="s">
        <v>0</v>
      </c>
      <c r="J655" s="1" t="s">
        <v>9</v>
      </c>
      <c r="K655" s="1">
        <v>2</v>
      </c>
      <c r="L655" s="1">
        <v>45</v>
      </c>
      <c r="M655" s="28">
        <v>1350</v>
      </c>
      <c r="N655" s="39">
        <f>Data[[#This Row],[Gross Wages]]/Data[[#This Row],[No. of Hours Worked]]</f>
        <v>30</v>
      </c>
    </row>
    <row r="656" spans="1:14" x14ac:dyDescent="0.3">
      <c r="A656" s="15" t="s">
        <v>140</v>
      </c>
      <c r="B656" s="1">
        <v>2025</v>
      </c>
      <c r="C656" s="11">
        <v>45901</v>
      </c>
      <c r="D656" s="42" t="s">
        <v>65</v>
      </c>
      <c r="E656" s="17" t="s">
        <v>66</v>
      </c>
      <c r="F656" s="17" t="s">
        <v>141</v>
      </c>
      <c r="G656" s="17" t="s">
        <v>68</v>
      </c>
      <c r="H656" s="35" t="s">
        <v>142</v>
      </c>
      <c r="I656" s="17" t="s">
        <v>0</v>
      </c>
      <c r="J656" s="17" t="s">
        <v>9</v>
      </c>
      <c r="K656" s="17">
        <v>3</v>
      </c>
      <c r="L656" s="17">
        <v>92</v>
      </c>
      <c r="M656" s="43">
        <v>7790.28</v>
      </c>
      <c r="N656" s="39">
        <f>Data[[#This Row],[Gross Wages]]/Data[[#This Row],[No. of Hours Worked]]</f>
        <v>84.676956521739129</v>
      </c>
    </row>
    <row r="657" spans="1:14" x14ac:dyDescent="0.3">
      <c r="A657" s="3" t="s">
        <v>106</v>
      </c>
      <c r="B657" s="1">
        <v>2025</v>
      </c>
      <c r="C657" s="10">
        <v>45901</v>
      </c>
      <c r="D657" s="34" t="s">
        <v>65</v>
      </c>
      <c r="E657" s="1" t="s">
        <v>66</v>
      </c>
      <c r="F657" s="1" t="s">
        <v>90</v>
      </c>
      <c r="G657" s="1" t="s">
        <v>68</v>
      </c>
      <c r="H657" s="2" t="s">
        <v>99</v>
      </c>
      <c r="I657" s="1" t="s">
        <v>0</v>
      </c>
      <c r="J657" s="1" t="s">
        <v>9</v>
      </c>
      <c r="K657" s="1">
        <v>2</v>
      </c>
      <c r="L657" s="1">
        <v>64</v>
      </c>
      <c r="M657" s="28">
        <v>2851.04</v>
      </c>
      <c r="N657" s="39">
        <f>Data[[#This Row],[Gross Wages]]/Data[[#This Row],[No. of Hours Worked]]</f>
        <v>44.547499999999999</v>
      </c>
    </row>
    <row r="658" spans="1:14" x14ac:dyDescent="0.3">
      <c r="A658" s="68" t="s">
        <v>171</v>
      </c>
      <c r="B658" s="1">
        <v>2025</v>
      </c>
      <c r="C658" s="11">
        <v>45901</v>
      </c>
      <c r="D658" s="42" t="s">
        <v>65</v>
      </c>
      <c r="E658" s="67" t="s">
        <v>66</v>
      </c>
      <c r="F658" s="67" t="s">
        <v>107</v>
      </c>
      <c r="G658" s="67" t="s">
        <v>68</v>
      </c>
      <c r="H658" s="2" t="s">
        <v>108</v>
      </c>
      <c r="I658" s="67" t="s">
        <v>0</v>
      </c>
      <c r="J658" s="67" t="s">
        <v>9</v>
      </c>
      <c r="K658" s="67">
        <v>2</v>
      </c>
      <c r="L658" s="67">
        <v>17</v>
      </c>
      <c r="M658" s="28">
        <v>4078.06</v>
      </c>
      <c r="N658" s="39">
        <f>Data[[#This Row],[Gross Wages]]/Data[[#This Row],[No. of Hours Worked]]</f>
        <v>239.88588235294117</v>
      </c>
    </row>
    <row r="659" spans="1:14" x14ac:dyDescent="0.3">
      <c r="A659" s="3" t="s">
        <v>112</v>
      </c>
      <c r="B659" s="1">
        <v>2025</v>
      </c>
      <c r="C659" s="11">
        <v>45901</v>
      </c>
      <c r="D659" s="42" t="s">
        <v>65</v>
      </c>
      <c r="E659" s="17" t="s">
        <v>66</v>
      </c>
      <c r="F659" s="17" t="s">
        <v>109</v>
      </c>
      <c r="G659" s="17" t="s">
        <v>68</v>
      </c>
      <c r="H659" s="35" t="s">
        <v>110</v>
      </c>
      <c r="I659" s="17" t="s">
        <v>0</v>
      </c>
      <c r="J659" s="17" t="s">
        <v>9</v>
      </c>
      <c r="K659" s="17">
        <v>1</v>
      </c>
      <c r="L659" s="17">
        <v>144</v>
      </c>
      <c r="M659" s="24">
        <v>4060.8</v>
      </c>
      <c r="N659" s="39">
        <f>Data[[#This Row],[Gross Wages]]/Data[[#This Row],[No. of Hours Worked]]</f>
        <v>28.200000000000003</v>
      </c>
    </row>
    <row r="660" spans="1:14" x14ac:dyDescent="0.3">
      <c r="A660" s="3" t="s">
        <v>112</v>
      </c>
      <c r="B660" s="1">
        <v>2025</v>
      </c>
      <c r="C660" s="10">
        <v>45901</v>
      </c>
      <c r="D660" s="34" t="s">
        <v>65</v>
      </c>
      <c r="E660" s="1" t="s">
        <v>66</v>
      </c>
      <c r="F660" s="1" t="s">
        <v>109</v>
      </c>
      <c r="G660" s="1" t="s">
        <v>68</v>
      </c>
      <c r="H660" s="2" t="s">
        <v>110</v>
      </c>
      <c r="I660" s="1" t="s">
        <v>0</v>
      </c>
      <c r="J660" s="1" t="s">
        <v>10</v>
      </c>
      <c r="K660" s="1">
        <v>1</v>
      </c>
      <c r="L660" s="1">
        <v>144</v>
      </c>
      <c r="M660" s="16">
        <v>2592</v>
      </c>
      <c r="N660" s="39">
        <f>Data[[#This Row],[Gross Wages]]/Data[[#This Row],[No. of Hours Worked]]</f>
        <v>18</v>
      </c>
    </row>
    <row r="661" spans="1:14" x14ac:dyDescent="0.3">
      <c r="A661" s="3" t="s">
        <v>112</v>
      </c>
      <c r="B661" s="1">
        <v>2025</v>
      </c>
      <c r="C661" s="10">
        <v>45901</v>
      </c>
      <c r="D661" s="34" t="s">
        <v>65</v>
      </c>
      <c r="E661" s="1" t="s">
        <v>66</v>
      </c>
      <c r="F661" s="1" t="s">
        <v>109</v>
      </c>
      <c r="G661" s="1" t="s">
        <v>68</v>
      </c>
      <c r="H661" s="2" t="s">
        <v>110</v>
      </c>
      <c r="I661" s="1" t="s">
        <v>111</v>
      </c>
      <c r="J661" s="1" t="s">
        <v>9</v>
      </c>
      <c r="K661" s="1">
        <v>2</v>
      </c>
      <c r="L661" s="1">
        <v>16</v>
      </c>
      <c r="M661" s="16">
        <v>471.84</v>
      </c>
      <c r="N661" s="39">
        <f>Data[[#This Row],[Gross Wages]]/Data[[#This Row],[No. of Hours Worked]]</f>
        <v>29.49</v>
      </c>
    </row>
    <row r="662" spans="1:14" x14ac:dyDescent="0.3">
      <c r="A662" s="3" t="s">
        <v>150</v>
      </c>
      <c r="B662" s="1">
        <v>2025</v>
      </c>
      <c r="C662" s="10">
        <v>45901</v>
      </c>
      <c r="D662" s="34" t="s">
        <v>65</v>
      </c>
      <c r="E662" s="17" t="s">
        <v>66</v>
      </c>
      <c r="F662" s="17" t="s">
        <v>148</v>
      </c>
      <c r="G662" s="17" t="s">
        <v>68</v>
      </c>
      <c r="H662" s="35" t="s">
        <v>149</v>
      </c>
      <c r="I662" s="17" t="s">
        <v>0</v>
      </c>
      <c r="J662" s="17" t="s">
        <v>9</v>
      </c>
      <c r="K662" s="17">
        <v>4</v>
      </c>
      <c r="L662" s="17">
        <v>218</v>
      </c>
      <c r="M662" s="43">
        <v>7336.23</v>
      </c>
      <c r="N662" s="39">
        <f>Data[[#This Row],[Gross Wages]]/Data[[#This Row],[No. of Hours Worked]]</f>
        <v>33.652431192660551</v>
      </c>
    </row>
    <row r="663" spans="1:14" x14ac:dyDescent="0.3">
      <c r="A663" s="3" t="s">
        <v>48</v>
      </c>
      <c r="B663" s="1">
        <v>2025</v>
      </c>
      <c r="C663" s="10">
        <v>45901</v>
      </c>
      <c r="D663" s="34" t="s">
        <v>65</v>
      </c>
      <c r="E663" s="17" t="s">
        <v>66</v>
      </c>
      <c r="F663" s="17" t="s">
        <v>84</v>
      </c>
      <c r="G663" s="17" t="s">
        <v>68</v>
      </c>
      <c r="H663" s="35" t="s">
        <v>85</v>
      </c>
      <c r="I663" s="17" t="s">
        <v>1</v>
      </c>
      <c r="J663" s="17" t="s">
        <v>9</v>
      </c>
      <c r="K663" s="17">
        <v>2</v>
      </c>
      <c r="L663" s="17">
        <v>333.5</v>
      </c>
      <c r="M663" s="43">
        <v>8869.91</v>
      </c>
      <c r="N663" s="39">
        <f>Data[[#This Row],[Gross Wages]]/Data[[#This Row],[No. of Hours Worked]]</f>
        <v>26.596431784107946</v>
      </c>
    </row>
    <row r="664" spans="1:14" x14ac:dyDescent="0.3">
      <c r="A664" s="3" t="s">
        <v>48</v>
      </c>
      <c r="B664" s="1">
        <v>2025</v>
      </c>
      <c r="C664" s="10">
        <v>45901</v>
      </c>
      <c r="D664" s="34" t="s">
        <v>65</v>
      </c>
      <c r="E664" s="1" t="s">
        <v>66</v>
      </c>
      <c r="F664" s="1" t="s">
        <v>84</v>
      </c>
      <c r="G664" s="1" t="s">
        <v>68</v>
      </c>
      <c r="H664" s="2" t="s">
        <v>85</v>
      </c>
      <c r="I664" s="1" t="s">
        <v>0</v>
      </c>
      <c r="J664" s="1" t="s">
        <v>9</v>
      </c>
      <c r="K664" s="1">
        <v>16</v>
      </c>
      <c r="L664" s="59">
        <v>2877.5</v>
      </c>
      <c r="M664" s="16">
        <v>135941.79999999999</v>
      </c>
      <c r="N664" s="39">
        <f>Data[[#This Row],[Gross Wages]]/Data[[#This Row],[No. of Hours Worked]]</f>
        <v>47.243023457862726</v>
      </c>
    </row>
    <row r="665" spans="1:14" x14ac:dyDescent="0.3">
      <c r="A665" s="3" t="s">
        <v>48</v>
      </c>
      <c r="B665" s="1">
        <v>2025</v>
      </c>
      <c r="C665" s="11">
        <v>45901</v>
      </c>
      <c r="D665" s="42" t="s">
        <v>65</v>
      </c>
      <c r="E665" s="1" t="s">
        <v>66</v>
      </c>
      <c r="F665" s="1" t="s">
        <v>84</v>
      </c>
      <c r="G665" s="1" t="s">
        <v>68</v>
      </c>
      <c r="H665" s="2" t="s">
        <v>85</v>
      </c>
      <c r="I665" s="1" t="s">
        <v>0</v>
      </c>
      <c r="J665" s="1" t="s">
        <v>9</v>
      </c>
      <c r="K665" s="1">
        <v>5</v>
      </c>
      <c r="L665" s="1">
        <v>387.5</v>
      </c>
      <c r="M665" s="28">
        <v>15961.91</v>
      </c>
      <c r="N665" s="39">
        <f>Data[[#This Row],[Gross Wages]]/Data[[#This Row],[No. of Hours Worked]]</f>
        <v>41.19202580645161</v>
      </c>
    </row>
    <row r="666" spans="1:14" x14ac:dyDescent="0.3">
      <c r="A666" s="3" t="s">
        <v>49</v>
      </c>
      <c r="B666" s="1">
        <v>2025</v>
      </c>
      <c r="C666" s="11">
        <v>45901</v>
      </c>
      <c r="D666" s="42" t="s">
        <v>65</v>
      </c>
      <c r="E666" s="17" t="s">
        <v>66</v>
      </c>
      <c r="F666" s="17" t="s">
        <v>67</v>
      </c>
      <c r="G666" s="17" t="s">
        <v>68</v>
      </c>
      <c r="H666" s="35" t="s">
        <v>69</v>
      </c>
      <c r="I666" s="17" t="s">
        <v>0</v>
      </c>
      <c r="J666" s="17" t="s">
        <v>9</v>
      </c>
      <c r="K666" s="17">
        <v>2</v>
      </c>
      <c r="L666" s="17">
        <v>287</v>
      </c>
      <c r="M666" s="43">
        <v>21929.67</v>
      </c>
      <c r="N666" s="39">
        <f>Data[[#This Row],[Gross Wages]]/Data[[#This Row],[No. of Hours Worked]]</f>
        <v>76.41</v>
      </c>
    </row>
    <row r="667" spans="1:14" x14ac:dyDescent="0.3">
      <c r="A667" s="3" t="s">
        <v>155</v>
      </c>
      <c r="B667" s="1">
        <v>2025</v>
      </c>
      <c r="C667" s="10">
        <v>45901</v>
      </c>
      <c r="D667" s="34" t="s">
        <v>65</v>
      </c>
      <c r="E667" s="17" t="s">
        <v>66</v>
      </c>
      <c r="F667" s="17" t="s">
        <v>70</v>
      </c>
      <c r="G667" s="17" t="s">
        <v>68</v>
      </c>
      <c r="H667" s="35" t="s">
        <v>71</v>
      </c>
      <c r="I667" s="17" t="s">
        <v>0</v>
      </c>
      <c r="J667" s="17" t="s">
        <v>9</v>
      </c>
      <c r="K667" s="17">
        <v>5</v>
      </c>
      <c r="L667" s="17">
        <v>89</v>
      </c>
      <c r="M667" s="43">
        <v>2681.01</v>
      </c>
      <c r="N667" s="39">
        <f>Data[[#This Row],[Gross Wages]]/Data[[#This Row],[No. of Hours Worked]]</f>
        <v>30.123707865168541</v>
      </c>
    </row>
    <row r="668" spans="1:14" x14ac:dyDescent="0.3">
      <c r="A668" s="3" t="s">
        <v>52</v>
      </c>
      <c r="B668" s="17">
        <v>2025</v>
      </c>
      <c r="C668" s="11">
        <v>45901</v>
      </c>
      <c r="D668" s="42" t="s">
        <v>65</v>
      </c>
      <c r="E668" s="17" t="s">
        <v>66</v>
      </c>
      <c r="F668" s="17" t="s">
        <v>90</v>
      </c>
      <c r="G668" s="17" t="s">
        <v>68</v>
      </c>
      <c r="H668" s="35" t="s">
        <v>99</v>
      </c>
      <c r="I668" s="17" t="s">
        <v>0</v>
      </c>
      <c r="J668" s="17" t="s">
        <v>9</v>
      </c>
      <c r="K668" s="17">
        <v>2</v>
      </c>
      <c r="L668" s="17">
        <v>136</v>
      </c>
      <c r="M668" s="24">
        <v>8867.2000000000007</v>
      </c>
      <c r="N668" s="39">
        <f>Data[[#This Row],[Gross Wages]]/Data[[#This Row],[No. of Hours Worked]]</f>
        <v>65.2</v>
      </c>
    </row>
    <row r="669" spans="1:14" x14ac:dyDescent="0.3">
      <c r="A669" s="3" t="s">
        <v>123</v>
      </c>
      <c r="B669" s="17">
        <v>2025</v>
      </c>
      <c r="C669" s="11">
        <v>45901</v>
      </c>
      <c r="D669" s="42" t="s">
        <v>65</v>
      </c>
      <c r="E669" s="17" t="s">
        <v>80</v>
      </c>
      <c r="F669" s="17" t="s">
        <v>151</v>
      </c>
      <c r="G669" s="17" t="s">
        <v>68</v>
      </c>
      <c r="H669" s="35" t="s">
        <v>152</v>
      </c>
      <c r="I669" s="17" t="s">
        <v>0</v>
      </c>
      <c r="J669" s="17" t="s">
        <v>9</v>
      </c>
      <c r="K669" s="17">
        <v>3</v>
      </c>
      <c r="L669" s="17">
        <v>402</v>
      </c>
      <c r="M669" s="24">
        <v>16274.69</v>
      </c>
      <c r="N669" s="39">
        <f>Data[[#This Row],[Gross Wages]]/Data[[#This Row],[No. of Hours Worked]]</f>
        <v>40.484303482587066</v>
      </c>
    </row>
    <row r="670" spans="1:14" x14ac:dyDescent="0.3">
      <c r="A670" s="3" t="s">
        <v>123</v>
      </c>
      <c r="B670" s="17">
        <v>2025</v>
      </c>
      <c r="C670" s="11">
        <v>45901</v>
      </c>
      <c r="D670" s="42" t="s">
        <v>65</v>
      </c>
      <c r="E670" s="17" t="s">
        <v>80</v>
      </c>
      <c r="F670" s="17" t="s">
        <v>151</v>
      </c>
      <c r="G670" s="17" t="s">
        <v>68</v>
      </c>
      <c r="H670" s="35" t="s">
        <v>152</v>
      </c>
      <c r="I670" s="17" t="s">
        <v>0</v>
      </c>
      <c r="J670" s="17" t="s">
        <v>9</v>
      </c>
      <c r="K670" s="17">
        <v>3</v>
      </c>
      <c r="L670" s="17">
        <v>402</v>
      </c>
      <c r="M670" s="43">
        <v>16274.69</v>
      </c>
      <c r="N670" s="39">
        <f>Data[[#This Row],[Gross Wages]]/Data[[#This Row],[No. of Hours Worked]]</f>
        <v>40.484303482587066</v>
      </c>
    </row>
    <row r="671" spans="1:14" x14ac:dyDescent="0.3">
      <c r="A671" s="3" t="s">
        <v>167</v>
      </c>
      <c r="B671" s="17">
        <v>2025</v>
      </c>
      <c r="C671" s="11">
        <v>45901</v>
      </c>
      <c r="D671" s="42" t="s">
        <v>65</v>
      </c>
      <c r="E671" s="1" t="s">
        <v>163</v>
      </c>
      <c r="F671" s="1" t="s">
        <v>164</v>
      </c>
      <c r="G671" s="1" t="s">
        <v>165</v>
      </c>
      <c r="H671" s="2" t="s">
        <v>166</v>
      </c>
      <c r="I671" s="1" t="s">
        <v>0</v>
      </c>
      <c r="J671" s="1" t="s">
        <v>9</v>
      </c>
      <c r="K671" s="1">
        <v>1</v>
      </c>
      <c r="L671" s="1">
        <v>60</v>
      </c>
      <c r="M671" s="16">
        <v>3000</v>
      </c>
      <c r="N671" s="39">
        <f>Data[[#This Row],[Gross Wages]]/Data[[#This Row],[No. of Hours Worked]]</f>
        <v>50</v>
      </c>
    </row>
    <row r="672" spans="1:14" x14ac:dyDescent="0.3">
      <c r="A672" s="3" t="s">
        <v>132</v>
      </c>
      <c r="B672" s="17">
        <v>2025</v>
      </c>
      <c r="C672" s="11">
        <v>45901</v>
      </c>
      <c r="D672" s="42" t="s">
        <v>65</v>
      </c>
      <c r="E672" s="1" t="s">
        <v>66</v>
      </c>
      <c r="F672" s="1" t="s">
        <v>133</v>
      </c>
      <c r="G672" s="1" t="s">
        <v>68</v>
      </c>
      <c r="H672" s="2" t="s">
        <v>134</v>
      </c>
      <c r="I672" s="1" t="s">
        <v>0</v>
      </c>
      <c r="J672" s="1" t="s">
        <v>9</v>
      </c>
      <c r="K672" s="1">
        <v>2</v>
      </c>
      <c r="L672" s="1">
        <v>14</v>
      </c>
      <c r="M672" s="16">
        <v>646.24</v>
      </c>
      <c r="N672" s="39">
        <f>Data[[#This Row],[Gross Wages]]/Data[[#This Row],[No. of Hours Worked]]</f>
        <v>46.160000000000004</v>
      </c>
    </row>
    <row r="673" spans="1:14" x14ac:dyDescent="0.3">
      <c r="A673" s="3" t="s">
        <v>132</v>
      </c>
      <c r="B673" s="17">
        <v>2025</v>
      </c>
      <c r="C673" s="11">
        <v>45901</v>
      </c>
      <c r="D673" s="42" t="s">
        <v>65</v>
      </c>
      <c r="E673" s="1" t="s">
        <v>66</v>
      </c>
      <c r="F673" s="1" t="s">
        <v>125</v>
      </c>
      <c r="G673" s="1" t="s">
        <v>68</v>
      </c>
      <c r="H673" s="2" t="s">
        <v>126</v>
      </c>
      <c r="I673" s="1" t="s">
        <v>0</v>
      </c>
      <c r="J673" s="1" t="s">
        <v>9</v>
      </c>
      <c r="K673" s="1">
        <v>3</v>
      </c>
      <c r="L673" s="1">
        <v>30</v>
      </c>
      <c r="M673" s="16">
        <v>1149.72</v>
      </c>
      <c r="N673" s="39">
        <f>Data[[#This Row],[Gross Wages]]/Data[[#This Row],[No. of Hours Worked]]</f>
        <v>38.323999999999998</v>
      </c>
    </row>
    <row r="674" spans="1:14" x14ac:dyDescent="0.3">
      <c r="A674" s="3" t="s">
        <v>40</v>
      </c>
      <c r="B674" s="17">
        <v>2025</v>
      </c>
      <c r="C674" s="10">
        <v>45931</v>
      </c>
      <c r="D674" s="42" t="s">
        <v>77</v>
      </c>
      <c r="E674" s="1" t="s">
        <v>66</v>
      </c>
      <c r="F674" s="1" t="s">
        <v>91</v>
      </c>
      <c r="G674" s="1" t="s">
        <v>68</v>
      </c>
      <c r="H674" s="2" t="s">
        <v>92</v>
      </c>
      <c r="I674" s="1" t="s">
        <v>0</v>
      </c>
      <c r="J674" s="1" t="s">
        <v>9</v>
      </c>
      <c r="K674" s="1">
        <v>6</v>
      </c>
      <c r="L674" s="1">
        <v>190</v>
      </c>
      <c r="M674" s="28">
        <v>7751.98</v>
      </c>
      <c r="N674" s="39">
        <f>Data[[#This Row],[Gross Wages]]/Data[[#This Row],[No. of Hours Worked]]</f>
        <v>40.799894736842106</v>
      </c>
    </row>
    <row r="675" spans="1:14" x14ac:dyDescent="0.3">
      <c r="A675" s="68" t="s">
        <v>153</v>
      </c>
      <c r="B675" s="17">
        <v>2025</v>
      </c>
      <c r="C675" s="10">
        <v>45931</v>
      </c>
      <c r="D675" s="42" t="s">
        <v>77</v>
      </c>
      <c r="E675" s="67" t="s">
        <v>66</v>
      </c>
      <c r="F675" s="67" t="s">
        <v>70</v>
      </c>
      <c r="G675" s="67" t="s">
        <v>68</v>
      </c>
      <c r="H675" s="2" t="s">
        <v>71</v>
      </c>
      <c r="I675" s="67" t="s">
        <v>0</v>
      </c>
      <c r="J675" s="67" t="s">
        <v>9</v>
      </c>
      <c r="K675" s="67">
        <v>3</v>
      </c>
      <c r="L675" s="67">
        <v>24</v>
      </c>
      <c r="M675" s="28">
        <v>808.72</v>
      </c>
      <c r="N675" s="39">
        <f>Data[[#This Row],[Gross Wages]]/Data[[#This Row],[No. of Hours Worked]]</f>
        <v>33.696666666666665</v>
      </c>
    </row>
    <row r="676" spans="1:14" x14ac:dyDescent="0.3">
      <c r="A676" s="15" t="s">
        <v>137</v>
      </c>
      <c r="B676" s="17">
        <v>2025</v>
      </c>
      <c r="C676" s="11">
        <v>45931</v>
      </c>
      <c r="D676" s="42" t="s">
        <v>77</v>
      </c>
      <c r="E676" s="1" t="s">
        <v>80</v>
      </c>
      <c r="F676" s="1" t="s">
        <v>138</v>
      </c>
      <c r="G676" s="1" t="s">
        <v>68</v>
      </c>
      <c r="H676" s="2" t="s">
        <v>139</v>
      </c>
      <c r="I676" s="1" t="s">
        <v>0</v>
      </c>
      <c r="J676" s="1" t="s">
        <v>9</v>
      </c>
      <c r="K676" s="1">
        <v>2</v>
      </c>
      <c r="L676" s="1">
        <v>220</v>
      </c>
      <c r="M676" s="28">
        <v>10746.52</v>
      </c>
      <c r="N676" s="39">
        <f>Data[[#This Row],[Gross Wages]]/Data[[#This Row],[No. of Hours Worked]]</f>
        <v>48.847818181818184</v>
      </c>
    </row>
    <row r="677" spans="1:14" x14ac:dyDescent="0.3">
      <c r="A677" s="15" t="s">
        <v>137</v>
      </c>
      <c r="B677" s="17">
        <v>2025</v>
      </c>
      <c r="C677" s="11">
        <v>45931</v>
      </c>
      <c r="D677" s="42" t="s">
        <v>77</v>
      </c>
      <c r="E677" s="1" t="s">
        <v>80</v>
      </c>
      <c r="F677" s="1" t="s">
        <v>138</v>
      </c>
      <c r="G677" s="1" t="s">
        <v>68</v>
      </c>
      <c r="H677" s="2" t="s">
        <v>139</v>
      </c>
      <c r="I677" s="1" t="s">
        <v>1</v>
      </c>
      <c r="J677" s="1" t="s">
        <v>9</v>
      </c>
      <c r="K677" s="1">
        <v>1</v>
      </c>
      <c r="L677" s="1">
        <v>72.25</v>
      </c>
      <c r="M677" s="28">
        <v>5484.5</v>
      </c>
      <c r="N677" s="39">
        <f>Data[[#This Row],[Gross Wages]]/Data[[#This Row],[No. of Hours Worked]]</f>
        <v>75.910034602076124</v>
      </c>
    </row>
    <row r="678" spans="1:14" x14ac:dyDescent="0.3">
      <c r="A678" s="15" t="s">
        <v>43</v>
      </c>
      <c r="B678" s="17">
        <v>2025</v>
      </c>
      <c r="C678" s="10">
        <v>45931</v>
      </c>
      <c r="D678" s="42" t="s">
        <v>77</v>
      </c>
      <c r="E678" s="1" t="s">
        <v>80</v>
      </c>
      <c r="F678" s="1" t="s">
        <v>88</v>
      </c>
      <c r="G678" s="1" t="s">
        <v>68</v>
      </c>
      <c r="H678" s="2" t="s">
        <v>89</v>
      </c>
      <c r="I678" s="1" t="s">
        <v>0</v>
      </c>
      <c r="J678" s="1" t="s">
        <v>9</v>
      </c>
      <c r="K678" s="1">
        <v>2</v>
      </c>
      <c r="L678" s="1">
        <v>280</v>
      </c>
      <c r="M678" s="28">
        <v>12297.6</v>
      </c>
      <c r="N678" s="39">
        <f>Data[[#This Row],[Gross Wages]]/Data[[#This Row],[No. of Hours Worked]]</f>
        <v>43.92</v>
      </c>
    </row>
    <row r="679" spans="1:14" x14ac:dyDescent="0.3">
      <c r="A679" s="15" t="s">
        <v>45</v>
      </c>
      <c r="B679" s="17">
        <v>2025</v>
      </c>
      <c r="C679" s="10">
        <v>45931</v>
      </c>
      <c r="D679" s="42" t="s">
        <v>77</v>
      </c>
      <c r="E679" s="1" t="s">
        <v>66</v>
      </c>
      <c r="F679" s="1" t="s">
        <v>67</v>
      </c>
      <c r="G679" s="1" t="s">
        <v>68</v>
      </c>
      <c r="H679" s="2" t="s">
        <v>69</v>
      </c>
      <c r="I679" s="1" t="s">
        <v>0</v>
      </c>
      <c r="J679" s="1" t="s">
        <v>9</v>
      </c>
      <c r="K679" s="1">
        <v>5</v>
      </c>
      <c r="L679" s="30">
        <v>1024</v>
      </c>
      <c r="M679" s="28">
        <v>48540.21</v>
      </c>
      <c r="N679" s="39">
        <f>Data[[#This Row],[Gross Wages]]/Data[[#This Row],[No. of Hours Worked]]</f>
        <v>47.402548828124999</v>
      </c>
    </row>
    <row r="680" spans="1:14" x14ac:dyDescent="0.3">
      <c r="A680" s="15" t="s">
        <v>45</v>
      </c>
      <c r="B680" s="17">
        <v>2025</v>
      </c>
      <c r="C680" s="11">
        <v>45931</v>
      </c>
      <c r="D680" s="42" t="s">
        <v>77</v>
      </c>
      <c r="E680" s="1" t="s">
        <v>66</v>
      </c>
      <c r="F680" s="1" t="s">
        <v>67</v>
      </c>
      <c r="G680" s="1" t="s">
        <v>68</v>
      </c>
      <c r="H680" s="2" t="s">
        <v>69</v>
      </c>
      <c r="I680" s="1" t="s">
        <v>2</v>
      </c>
      <c r="J680" s="1" t="s">
        <v>10</v>
      </c>
      <c r="K680" s="1">
        <v>1</v>
      </c>
      <c r="L680" s="1">
        <v>184</v>
      </c>
      <c r="M680" s="28">
        <v>8879.84</v>
      </c>
      <c r="N680" s="39">
        <f>Data[[#This Row],[Gross Wages]]/Data[[#This Row],[No. of Hours Worked]]</f>
        <v>48.26</v>
      </c>
    </row>
    <row r="681" spans="1:14" x14ac:dyDescent="0.3">
      <c r="A681" s="15" t="s">
        <v>45</v>
      </c>
      <c r="B681" s="17">
        <v>2025</v>
      </c>
      <c r="C681" s="10">
        <v>45931</v>
      </c>
      <c r="D681" s="42" t="s">
        <v>77</v>
      </c>
      <c r="E681" s="1" t="s">
        <v>66</v>
      </c>
      <c r="F681" s="1" t="s">
        <v>90</v>
      </c>
      <c r="G681" s="1" t="s">
        <v>68</v>
      </c>
      <c r="H681" s="2" t="s">
        <v>99</v>
      </c>
      <c r="I681" s="1" t="s">
        <v>0</v>
      </c>
      <c r="J681" s="1" t="s">
        <v>9</v>
      </c>
      <c r="K681" s="1">
        <v>3</v>
      </c>
      <c r="L681" s="1">
        <v>72</v>
      </c>
      <c r="M681" s="28">
        <v>3141.68</v>
      </c>
      <c r="N681" s="39">
        <f>Data[[#This Row],[Gross Wages]]/Data[[#This Row],[No. of Hours Worked]]</f>
        <v>43.634444444444441</v>
      </c>
    </row>
    <row r="682" spans="1:14" x14ac:dyDescent="0.3">
      <c r="A682" s="15" t="s">
        <v>124</v>
      </c>
      <c r="B682" s="17">
        <v>2025</v>
      </c>
      <c r="C682" s="10">
        <v>45931</v>
      </c>
      <c r="D682" s="42" t="s">
        <v>77</v>
      </c>
      <c r="E682" s="1" t="s">
        <v>66</v>
      </c>
      <c r="F682" s="1" t="s">
        <v>125</v>
      </c>
      <c r="G682" s="1" t="s">
        <v>68</v>
      </c>
      <c r="H682" s="2" t="s">
        <v>126</v>
      </c>
      <c r="I682" s="1" t="s">
        <v>0</v>
      </c>
      <c r="J682" s="1" t="s">
        <v>9</v>
      </c>
      <c r="K682" s="1">
        <v>1</v>
      </c>
      <c r="L682" s="1">
        <v>6</v>
      </c>
      <c r="M682" s="28">
        <v>344.94</v>
      </c>
      <c r="N682" s="39">
        <f>Data[[#This Row],[Gross Wages]]/Data[[#This Row],[No. of Hours Worked]]</f>
        <v>57.49</v>
      </c>
    </row>
    <row r="683" spans="1:14" x14ac:dyDescent="0.3">
      <c r="A683" s="15" t="s">
        <v>46</v>
      </c>
      <c r="B683" s="17">
        <v>2025</v>
      </c>
      <c r="C683" s="10">
        <v>45931</v>
      </c>
      <c r="D683" s="42" t="s">
        <v>77</v>
      </c>
      <c r="E683" s="1" t="s">
        <v>66</v>
      </c>
      <c r="F683" s="1" t="s">
        <v>70</v>
      </c>
      <c r="G683" s="1" t="s">
        <v>68</v>
      </c>
      <c r="H683" s="2" t="s">
        <v>71</v>
      </c>
      <c r="I683" s="1" t="s">
        <v>0</v>
      </c>
      <c r="J683" s="1" t="s">
        <v>9</v>
      </c>
      <c r="K683" s="1">
        <v>1</v>
      </c>
      <c r="L683" s="1">
        <v>132</v>
      </c>
      <c r="M683" s="28">
        <v>4169.88</v>
      </c>
      <c r="N683" s="39">
        <f>Data[[#This Row],[Gross Wages]]/Data[[#This Row],[No. of Hours Worked]]</f>
        <v>31.59</v>
      </c>
    </row>
    <row r="684" spans="1:14" x14ac:dyDescent="0.3">
      <c r="A684" s="15" t="s">
        <v>143</v>
      </c>
      <c r="B684" s="1">
        <v>2025</v>
      </c>
      <c r="C684" s="10">
        <v>45931</v>
      </c>
      <c r="D684" s="42" t="s">
        <v>77</v>
      </c>
      <c r="E684" s="1" t="s">
        <v>80</v>
      </c>
      <c r="F684" s="1" t="s">
        <v>130</v>
      </c>
      <c r="G684" s="1" t="s">
        <v>68</v>
      </c>
      <c r="H684" s="2" t="s">
        <v>131</v>
      </c>
      <c r="I684" s="1" t="s">
        <v>0</v>
      </c>
      <c r="J684" s="1" t="s">
        <v>9</v>
      </c>
      <c r="K684" s="1">
        <v>3</v>
      </c>
      <c r="L684" s="1">
        <v>24</v>
      </c>
      <c r="M684" s="28">
        <v>808.72</v>
      </c>
      <c r="N684" s="39">
        <f>Data[[#This Row],[Gross Wages]]/Data[[#This Row],[No. of Hours Worked]]</f>
        <v>33.696666666666665</v>
      </c>
    </row>
    <row r="685" spans="1:14" x14ac:dyDescent="0.3">
      <c r="A685" s="15" t="s">
        <v>127</v>
      </c>
      <c r="B685" s="1">
        <v>2025</v>
      </c>
      <c r="C685" s="11">
        <v>45931</v>
      </c>
      <c r="D685" s="42" t="s">
        <v>77</v>
      </c>
      <c r="E685" s="1" t="s">
        <v>66</v>
      </c>
      <c r="F685" s="1" t="s">
        <v>93</v>
      </c>
      <c r="G685" s="1" t="s">
        <v>68</v>
      </c>
      <c r="H685" s="2" t="s">
        <v>94</v>
      </c>
      <c r="I685" s="1" t="s">
        <v>0</v>
      </c>
      <c r="J685" s="1" t="s">
        <v>9</v>
      </c>
      <c r="K685" s="1">
        <v>3</v>
      </c>
      <c r="L685" s="1">
        <v>57</v>
      </c>
      <c r="M685" s="28">
        <v>1717.7</v>
      </c>
      <c r="N685" s="39">
        <f>Data[[#This Row],[Gross Wages]]/Data[[#This Row],[No. of Hours Worked]]</f>
        <v>30.135087719298248</v>
      </c>
    </row>
    <row r="686" spans="1:14" x14ac:dyDescent="0.3">
      <c r="A686" s="15" t="s">
        <v>140</v>
      </c>
      <c r="B686" s="17">
        <v>2025</v>
      </c>
      <c r="C686" s="10">
        <v>45931</v>
      </c>
      <c r="D686" s="42" t="s">
        <v>77</v>
      </c>
      <c r="E686" s="1" t="s">
        <v>66</v>
      </c>
      <c r="F686" s="1" t="s">
        <v>70</v>
      </c>
      <c r="G686" s="1" t="s">
        <v>68</v>
      </c>
      <c r="H686" s="2" t="s">
        <v>71</v>
      </c>
      <c r="I686" s="1" t="s">
        <v>0</v>
      </c>
      <c r="J686" s="1" t="s">
        <v>9</v>
      </c>
      <c r="K686" s="1">
        <v>7</v>
      </c>
      <c r="L686" s="1">
        <v>662</v>
      </c>
      <c r="M686" s="28">
        <v>19970.900000000001</v>
      </c>
      <c r="N686" s="39">
        <f>Data[[#This Row],[Gross Wages]]/Data[[#This Row],[No. of Hours Worked]]</f>
        <v>30.167522658610274</v>
      </c>
    </row>
    <row r="687" spans="1:14" x14ac:dyDescent="0.3">
      <c r="A687" s="15" t="s">
        <v>140</v>
      </c>
      <c r="B687" s="17">
        <v>2025</v>
      </c>
      <c r="C687" s="10">
        <v>45931</v>
      </c>
      <c r="D687" s="42" t="s">
        <v>77</v>
      </c>
      <c r="E687" s="1" t="s">
        <v>66</v>
      </c>
      <c r="F687" s="1" t="s">
        <v>72</v>
      </c>
      <c r="G687" s="1" t="s">
        <v>73</v>
      </c>
      <c r="H687" s="2" t="s">
        <v>74</v>
      </c>
      <c r="I687" s="1" t="s">
        <v>0</v>
      </c>
      <c r="J687" s="1" t="s">
        <v>9</v>
      </c>
      <c r="K687" s="1">
        <v>1</v>
      </c>
      <c r="L687" s="1">
        <v>56</v>
      </c>
      <c r="M687" s="28">
        <v>1680</v>
      </c>
      <c r="N687" s="39">
        <f>Data[[#This Row],[Gross Wages]]/Data[[#This Row],[No. of Hours Worked]]</f>
        <v>30</v>
      </c>
    </row>
    <row r="688" spans="1:14" x14ac:dyDescent="0.3">
      <c r="A688" s="15" t="s">
        <v>140</v>
      </c>
      <c r="B688" s="17">
        <v>2025</v>
      </c>
      <c r="C688" s="10">
        <v>45931</v>
      </c>
      <c r="D688" s="42" t="s">
        <v>77</v>
      </c>
      <c r="E688" s="1" t="s">
        <v>66</v>
      </c>
      <c r="F688" s="1" t="s">
        <v>141</v>
      </c>
      <c r="G688" s="1" t="s">
        <v>68</v>
      </c>
      <c r="H688" s="2" t="s">
        <v>142</v>
      </c>
      <c r="I688" s="1" t="s">
        <v>0</v>
      </c>
      <c r="J688" s="1" t="s">
        <v>9</v>
      </c>
      <c r="K688" s="1">
        <v>2</v>
      </c>
      <c r="L688" s="1">
        <v>177.5</v>
      </c>
      <c r="M688" s="28">
        <v>5530.78</v>
      </c>
      <c r="N688" s="39">
        <f>Data[[#This Row],[Gross Wages]]/Data[[#This Row],[No. of Hours Worked]]</f>
        <v>31.15932394366197</v>
      </c>
    </row>
    <row r="689" spans="1:14" x14ac:dyDescent="0.3">
      <c r="A689" s="15" t="s">
        <v>162</v>
      </c>
      <c r="B689" s="17">
        <v>2025</v>
      </c>
      <c r="C689" s="11">
        <v>45931</v>
      </c>
      <c r="D689" s="42" t="s">
        <v>77</v>
      </c>
      <c r="E689" s="1" t="s">
        <v>66</v>
      </c>
      <c r="F689" s="1" t="s">
        <v>70</v>
      </c>
      <c r="G689" s="1" t="s">
        <v>68</v>
      </c>
      <c r="H689" s="2" t="s">
        <v>71</v>
      </c>
      <c r="I689" s="1" t="s">
        <v>0</v>
      </c>
      <c r="J689" s="1" t="s">
        <v>9</v>
      </c>
      <c r="K689" s="1">
        <v>3</v>
      </c>
      <c r="L689" s="1">
        <v>24</v>
      </c>
      <c r="M689" s="28">
        <v>808.72</v>
      </c>
      <c r="N689" s="39">
        <f>Data[[#This Row],[Gross Wages]]/Data[[#This Row],[No. of Hours Worked]]</f>
        <v>33.696666666666665</v>
      </c>
    </row>
    <row r="690" spans="1:14" x14ac:dyDescent="0.3">
      <c r="A690" s="15" t="s">
        <v>112</v>
      </c>
      <c r="B690" s="17">
        <v>2025</v>
      </c>
      <c r="C690" s="11">
        <v>45931</v>
      </c>
      <c r="D690" s="42" t="s">
        <v>77</v>
      </c>
      <c r="E690" s="1" t="s">
        <v>66</v>
      </c>
      <c r="F690" s="1" t="s">
        <v>109</v>
      </c>
      <c r="G690" s="1" t="s">
        <v>68</v>
      </c>
      <c r="H690" s="2" t="s">
        <v>110</v>
      </c>
      <c r="I690" s="1" t="s">
        <v>0</v>
      </c>
      <c r="J690" s="1" t="s">
        <v>9</v>
      </c>
      <c r="K690" s="1">
        <v>3</v>
      </c>
      <c r="L690" s="1">
        <v>233</v>
      </c>
      <c r="M690" s="28">
        <v>6570.6</v>
      </c>
      <c r="N690" s="39">
        <f>Data[[#This Row],[Gross Wages]]/Data[[#This Row],[No. of Hours Worked]]</f>
        <v>28.200000000000003</v>
      </c>
    </row>
    <row r="691" spans="1:14" x14ac:dyDescent="0.3">
      <c r="A691" s="15" t="s">
        <v>112</v>
      </c>
      <c r="B691" s="17">
        <v>2025</v>
      </c>
      <c r="C691" s="11">
        <v>45931</v>
      </c>
      <c r="D691" s="42" t="s">
        <v>77</v>
      </c>
      <c r="E691" s="1" t="s">
        <v>66</v>
      </c>
      <c r="F691" s="1" t="s">
        <v>109</v>
      </c>
      <c r="G691" s="1" t="s">
        <v>68</v>
      </c>
      <c r="H691" s="2" t="s">
        <v>110</v>
      </c>
      <c r="I691" s="1" t="s">
        <v>0</v>
      </c>
      <c r="J691" s="1" t="s">
        <v>10</v>
      </c>
      <c r="K691" s="1">
        <v>1</v>
      </c>
      <c r="L691" s="1">
        <v>35</v>
      </c>
      <c r="M691" s="28">
        <v>630</v>
      </c>
      <c r="N691" s="39">
        <f>Data[[#This Row],[Gross Wages]]/Data[[#This Row],[No. of Hours Worked]]</f>
        <v>18</v>
      </c>
    </row>
    <row r="692" spans="1:14" x14ac:dyDescent="0.3">
      <c r="A692" s="15" t="s">
        <v>112</v>
      </c>
      <c r="B692" s="17">
        <v>2025</v>
      </c>
      <c r="C692" s="10">
        <v>45931</v>
      </c>
      <c r="D692" s="42" t="s">
        <v>77</v>
      </c>
      <c r="E692" s="1" t="s">
        <v>66</v>
      </c>
      <c r="F692" s="1" t="s">
        <v>109</v>
      </c>
      <c r="G692" s="1" t="s">
        <v>68</v>
      </c>
      <c r="H692" s="2" t="s">
        <v>110</v>
      </c>
      <c r="I692" s="1" t="s">
        <v>111</v>
      </c>
      <c r="J692" s="1" t="s">
        <v>9</v>
      </c>
      <c r="K692" s="1">
        <v>2</v>
      </c>
      <c r="L692" s="1">
        <v>278</v>
      </c>
      <c r="M692" s="28">
        <v>8098.22</v>
      </c>
      <c r="N692" s="39">
        <f>Data[[#This Row],[Gross Wages]]/Data[[#This Row],[No. of Hours Worked]]</f>
        <v>29.130287769784175</v>
      </c>
    </row>
    <row r="693" spans="1:14" x14ac:dyDescent="0.3">
      <c r="A693" s="15" t="s">
        <v>150</v>
      </c>
      <c r="B693" s="17">
        <v>2025</v>
      </c>
      <c r="C693" s="10">
        <v>45931</v>
      </c>
      <c r="D693" s="42" t="s">
        <v>77</v>
      </c>
      <c r="E693" s="1" t="s">
        <v>66</v>
      </c>
      <c r="F693" s="1" t="s">
        <v>148</v>
      </c>
      <c r="G693" s="1" t="s">
        <v>68</v>
      </c>
      <c r="H693" s="2" t="s">
        <v>149</v>
      </c>
      <c r="I693" s="1" t="s">
        <v>0</v>
      </c>
      <c r="J693" s="1" t="s">
        <v>9</v>
      </c>
      <c r="K693" s="1">
        <v>3</v>
      </c>
      <c r="L693" s="1">
        <v>360</v>
      </c>
      <c r="M693" s="16">
        <v>12488.4</v>
      </c>
      <c r="N693" s="39">
        <f>Data[[#This Row],[Gross Wages]]/Data[[#This Row],[No. of Hours Worked]]</f>
        <v>34.69</v>
      </c>
    </row>
    <row r="694" spans="1:14" x14ac:dyDescent="0.3">
      <c r="A694" s="15" t="s">
        <v>48</v>
      </c>
      <c r="B694" s="17">
        <v>2025</v>
      </c>
      <c r="C694" s="10">
        <v>45931</v>
      </c>
      <c r="D694" s="42" t="s">
        <v>77</v>
      </c>
      <c r="E694" s="1" t="s">
        <v>66</v>
      </c>
      <c r="F694" s="1" t="s">
        <v>84</v>
      </c>
      <c r="G694" s="1" t="s">
        <v>68</v>
      </c>
      <c r="H694" s="2" t="s">
        <v>85</v>
      </c>
      <c r="I694" s="1" t="s">
        <v>1</v>
      </c>
      <c r="J694" s="1" t="s">
        <v>9</v>
      </c>
      <c r="K694" s="1">
        <v>2</v>
      </c>
      <c r="L694" s="1">
        <v>286</v>
      </c>
      <c r="M694" s="28">
        <v>12528.38</v>
      </c>
      <c r="N694" s="39">
        <f>Data[[#This Row],[Gross Wages]]/Data[[#This Row],[No. of Hours Worked]]</f>
        <v>43.805524475524471</v>
      </c>
    </row>
    <row r="695" spans="1:14" x14ac:dyDescent="0.3">
      <c r="A695" s="15" t="s">
        <v>48</v>
      </c>
      <c r="B695" s="17">
        <v>2025</v>
      </c>
      <c r="C695" s="11">
        <v>45931</v>
      </c>
      <c r="D695" s="42" t="s">
        <v>77</v>
      </c>
      <c r="E695" s="1" t="s">
        <v>66</v>
      </c>
      <c r="F695" s="1" t="s">
        <v>84</v>
      </c>
      <c r="G695" s="1" t="s">
        <v>68</v>
      </c>
      <c r="H695" s="2" t="s">
        <v>85</v>
      </c>
      <c r="I695" s="1" t="s">
        <v>0</v>
      </c>
      <c r="J695" s="1" t="s">
        <v>9</v>
      </c>
      <c r="K695" s="1">
        <v>25</v>
      </c>
      <c r="L695" s="59">
        <v>2274</v>
      </c>
      <c r="M695" s="16">
        <v>99347.96</v>
      </c>
      <c r="N695" s="39">
        <f>Data[[#This Row],[Gross Wages]]/Data[[#This Row],[No. of Hours Worked]]</f>
        <v>43.688636763412489</v>
      </c>
    </row>
    <row r="696" spans="1:14" x14ac:dyDescent="0.3">
      <c r="A696" s="15" t="s">
        <v>49</v>
      </c>
      <c r="B696" s="17">
        <v>2025</v>
      </c>
      <c r="C696" s="10">
        <v>45931</v>
      </c>
      <c r="D696" s="42" t="s">
        <v>77</v>
      </c>
      <c r="E696" s="1" t="s">
        <v>66</v>
      </c>
      <c r="F696" s="1" t="s">
        <v>67</v>
      </c>
      <c r="G696" s="1" t="s">
        <v>68</v>
      </c>
      <c r="H696" s="2" t="s">
        <v>69</v>
      </c>
      <c r="I696" s="1" t="s">
        <v>0</v>
      </c>
      <c r="J696" s="1" t="s">
        <v>9</v>
      </c>
      <c r="K696" s="1">
        <v>2</v>
      </c>
      <c r="L696" s="1">
        <v>232</v>
      </c>
      <c r="M696" s="28">
        <v>17727.12</v>
      </c>
      <c r="N696" s="39">
        <f>Data[[#This Row],[Gross Wages]]/Data[[#This Row],[No. of Hours Worked]]</f>
        <v>76.41</v>
      </c>
    </row>
    <row r="697" spans="1:14" x14ac:dyDescent="0.3">
      <c r="A697" s="15" t="s">
        <v>170</v>
      </c>
      <c r="B697" s="17">
        <v>2025</v>
      </c>
      <c r="C697" s="10">
        <v>45931</v>
      </c>
      <c r="D697" s="42" t="s">
        <v>77</v>
      </c>
      <c r="E697" s="1" t="s">
        <v>66</v>
      </c>
      <c r="F697" s="1" t="s">
        <v>168</v>
      </c>
      <c r="G697" s="1" t="s">
        <v>73</v>
      </c>
      <c r="H697" s="2" t="s">
        <v>169</v>
      </c>
      <c r="I697" s="1" t="s">
        <v>0</v>
      </c>
      <c r="J697" s="1" t="s">
        <v>10</v>
      </c>
      <c r="K697" s="1">
        <v>3</v>
      </c>
      <c r="L697" s="1">
        <v>40</v>
      </c>
      <c r="M697" s="28">
        <v>2088</v>
      </c>
      <c r="N697" s="39">
        <f>Data[[#This Row],[Gross Wages]]/Data[[#This Row],[No. of Hours Worked]]</f>
        <v>52.2</v>
      </c>
    </row>
    <row r="698" spans="1:14" x14ac:dyDescent="0.3">
      <c r="A698" s="15" t="s">
        <v>155</v>
      </c>
      <c r="B698" s="17">
        <v>2025</v>
      </c>
      <c r="C698" s="10">
        <v>45931</v>
      </c>
      <c r="D698" s="42" t="s">
        <v>77</v>
      </c>
      <c r="E698" s="1" t="s">
        <v>66</v>
      </c>
      <c r="F698" s="1" t="s">
        <v>70</v>
      </c>
      <c r="G698" s="1" t="s">
        <v>68</v>
      </c>
      <c r="H698" s="2" t="s">
        <v>71</v>
      </c>
      <c r="I698" s="1" t="s">
        <v>0</v>
      </c>
      <c r="J698" s="1" t="s">
        <v>9</v>
      </c>
      <c r="K698" s="1">
        <v>9</v>
      </c>
      <c r="L698" s="1">
        <v>216</v>
      </c>
      <c r="M698" s="28">
        <v>6982.3</v>
      </c>
      <c r="N698" s="39">
        <f>Data[[#This Row],[Gross Wages]]/Data[[#This Row],[No. of Hours Worked]]</f>
        <v>32.325462962962966</v>
      </c>
    </row>
    <row r="699" spans="1:14" x14ac:dyDescent="0.3">
      <c r="A699" s="3" t="s">
        <v>50</v>
      </c>
      <c r="B699" s="17">
        <v>2025</v>
      </c>
      <c r="C699" s="11">
        <v>45931</v>
      </c>
      <c r="D699" s="42" t="s">
        <v>77</v>
      </c>
      <c r="E699" s="17" t="s">
        <v>66</v>
      </c>
      <c r="F699" s="17" t="s">
        <v>100</v>
      </c>
      <c r="G699" s="17" t="s">
        <v>68</v>
      </c>
      <c r="H699" s="35" t="s">
        <v>101</v>
      </c>
      <c r="I699" s="17" t="s">
        <v>0</v>
      </c>
      <c r="J699" s="17" t="s">
        <v>9</v>
      </c>
      <c r="K699" s="17">
        <v>4</v>
      </c>
      <c r="L699" s="17">
        <v>21.77</v>
      </c>
      <c r="M699" s="43">
        <v>808.86</v>
      </c>
      <c r="N699" s="39">
        <f>Data[[#This Row],[Gross Wages]]/Data[[#This Row],[No. of Hours Worked]]</f>
        <v>37.154800183739091</v>
      </c>
    </row>
    <row r="700" spans="1:14" x14ac:dyDescent="0.3">
      <c r="A700" s="3" t="s">
        <v>52</v>
      </c>
      <c r="B700" s="17">
        <v>2025</v>
      </c>
      <c r="C700" s="11">
        <v>45931</v>
      </c>
      <c r="D700" s="42" t="s">
        <v>77</v>
      </c>
      <c r="E700" s="17" t="s">
        <v>66</v>
      </c>
      <c r="F700" s="17" t="s">
        <v>90</v>
      </c>
      <c r="G700" s="17" t="s">
        <v>68</v>
      </c>
      <c r="H700" s="35" t="s">
        <v>99</v>
      </c>
      <c r="I700" s="17" t="s">
        <v>0</v>
      </c>
      <c r="J700" s="17" t="s">
        <v>9</v>
      </c>
      <c r="K700" s="17">
        <v>4</v>
      </c>
      <c r="L700" s="17">
        <v>306</v>
      </c>
      <c r="M700" s="43">
        <v>20127.29</v>
      </c>
      <c r="N700" s="39">
        <f>Data[[#This Row],[Gross Wages]]/Data[[#This Row],[No. of Hours Worked]]</f>
        <v>65.77545751633987</v>
      </c>
    </row>
    <row r="701" spans="1:14" x14ac:dyDescent="0.3">
      <c r="A701" s="3" t="s">
        <v>123</v>
      </c>
      <c r="B701" s="17">
        <v>2025</v>
      </c>
      <c r="C701" s="11">
        <v>45931</v>
      </c>
      <c r="D701" s="42" t="s">
        <v>77</v>
      </c>
      <c r="E701" s="17" t="s">
        <v>80</v>
      </c>
      <c r="F701" s="17" t="s">
        <v>151</v>
      </c>
      <c r="G701" s="17" t="s">
        <v>68</v>
      </c>
      <c r="H701" s="35" t="s">
        <v>152</v>
      </c>
      <c r="I701" s="17" t="s">
        <v>0</v>
      </c>
      <c r="J701" s="17" t="s">
        <v>9</v>
      </c>
      <c r="K701" s="17">
        <v>5</v>
      </c>
      <c r="L701" s="17">
        <v>397</v>
      </c>
      <c r="M701" s="43">
        <v>16167.95</v>
      </c>
      <c r="N701" s="39">
        <f>Data[[#This Row],[Gross Wages]]/Data[[#This Row],[No. of Hours Worked]]</f>
        <v>40.725314861460959</v>
      </c>
    </row>
    <row r="702" spans="1:14" x14ac:dyDescent="0.3">
      <c r="A702" s="3" t="s">
        <v>123</v>
      </c>
      <c r="B702" s="17">
        <v>2025</v>
      </c>
      <c r="C702" s="10">
        <v>45931</v>
      </c>
      <c r="D702" s="42" t="s">
        <v>77</v>
      </c>
      <c r="E702" s="1" t="s">
        <v>80</v>
      </c>
      <c r="F702" s="1" t="s">
        <v>151</v>
      </c>
      <c r="G702" s="1" t="s">
        <v>68</v>
      </c>
      <c r="H702" s="2" t="s">
        <v>152</v>
      </c>
      <c r="I702" s="1" t="s">
        <v>2</v>
      </c>
      <c r="J702" s="1" t="s">
        <v>9</v>
      </c>
      <c r="K702" s="1">
        <v>1</v>
      </c>
      <c r="L702" s="1">
        <v>40</v>
      </c>
      <c r="M702" s="28">
        <v>1932.4</v>
      </c>
      <c r="N702" s="39">
        <f>Data[[#This Row],[Gross Wages]]/Data[[#This Row],[No. of Hours Worked]]</f>
        <v>48.31</v>
      </c>
    </row>
    <row r="703" spans="1:14" x14ac:dyDescent="0.3">
      <c r="A703" s="3" t="s">
        <v>40</v>
      </c>
      <c r="B703" s="17">
        <v>2025</v>
      </c>
      <c r="C703" s="10">
        <v>45962</v>
      </c>
      <c r="D703" s="42" t="s">
        <v>77</v>
      </c>
      <c r="E703" s="1" t="s">
        <v>66</v>
      </c>
      <c r="F703" s="1" t="s">
        <v>91</v>
      </c>
      <c r="G703" s="1" t="s">
        <v>68</v>
      </c>
      <c r="H703" s="2" t="s">
        <v>92</v>
      </c>
      <c r="I703" s="1" t="s">
        <v>0</v>
      </c>
      <c r="J703" s="1" t="s">
        <v>9</v>
      </c>
      <c r="K703" s="1">
        <v>6</v>
      </c>
      <c r="L703" s="1">
        <v>563</v>
      </c>
      <c r="M703" s="28">
        <v>20898.68</v>
      </c>
      <c r="N703" s="39">
        <f>Data[[#This Row],[Gross Wages]]/Data[[#This Row],[No. of Hours Worked]]</f>
        <v>37.120213143872114</v>
      </c>
    </row>
    <row r="704" spans="1:14" x14ac:dyDescent="0.3">
      <c r="A704" s="3" t="s">
        <v>153</v>
      </c>
      <c r="B704" s="17">
        <v>2025</v>
      </c>
      <c r="C704" s="10">
        <v>45962</v>
      </c>
      <c r="D704" s="42" t="s">
        <v>77</v>
      </c>
      <c r="E704" s="67" t="s">
        <v>66</v>
      </c>
      <c r="F704" s="67" t="s">
        <v>70</v>
      </c>
      <c r="G704" s="67" t="s">
        <v>68</v>
      </c>
      <c r="H704" s="2" t="s">
        <v>71</v>
      </c>
      <c r="I704" s="67" t="s">
        <v>0</v>
      </c>
      <c r="J704" s="67" t="s">
        <v>9</v>
      </c>
      <c r="K704" s="67">
        <v>5</v>
      </c>
      <c r="L704" s="67">
        <v>64</v>
      </c>
      <c r="M704" s="28">
        <v>2148.16</v>
      </c>
      <c r="N704" s="39">
        <f>Data[[#This Row],[Gross Wages]]/Data[[#This Row],[No. of Hours Worked]]</f>
        <v>33.564999999999998</v>
      </c>
    </row>
    <row r="705" spans="1:14" x14ac:dyDescent="0.3">
      <c r="A705" s="3" t="s">
        <v>137</v>
      </c>
      <c r="B705" s="17">
        <v>2025</v>
      </c>
      <c r="C705" s="10">
        <v>45962</v>
      </c>
      <c r="D705" s="42" t="s">
        <v>77</v>
      </c>
      <c r="E705" s="1" t="s">
        <v>80</v>
      </c>
      <c r="F705" s="1" t="s">
        <v>138</v>
      </c>
      <c r="G705" s="1" t="s">
        <v>68</v>
      </c>
      <c r="H705" s="2" t="s">
        <v>139</v>
      </c>
      <c r="I705" s="1" t="s">
        <v>0</v>
      </c>
      <c r="J705" s="1" t="s">
        <v>9</v>
      </c>
      <c r="K705" s="1">
        <v>2</v>
      </c>
      <c r="L705" s="1">
        <v>111.5</v>
      </c>
      <c r="M705" s="28">
        <v>8254.58</v>
      </c>
      <c r="N705" s="39">
        <f>Data[[#This Row],[Gross Wages]]/Data[[#This Row],[No. of Hours Worked]]</f>
        <v>74.032107623318382</v>
      </c>
    </row>
    <row r="706" spans="1:14" x14ac:dyDescent="0.3">
      <c r="A706" s="3" t="s">
        <v>43</v>
      </c>
      <c r="B706" s="17">
        <v>2025</v>
      </c>
      <c r="C706" s="10">
        <v>45962</v>
      </c>
      <c r="D706" s="42" t="s">
        <v>77</v>
      </c>
      <c r="E706" s="1" t="s">
        <v>80</v>
      </c>
      <c r="F706" s="1" t="s">
        <v>88</v>
      </c>
      <c r="G706" s="1" t="s">
        <v>68</v>
      </c>
      <c r="H706" s="2" t="s">
        <v>89</v>
      </c>
      <c r="I706" s="1" t="s">
        <v>0</v>
      </c>
      <c r="J706" s="1" t="s">
        <v>9</v>
      </c>
      <c r="K706" s="1">
        <v>2</v>
      </c>
      <c r="L706" s="1">
        <v>168</v>
      </c>
      <c r="M706" s="28">
        <v>7378.56</v>
      </c>
      <c r="N706" s="39">
        <f>Data[[#This Row],[Gross Wages]]/Data[[#This Row],[No. of Hours Worked]]</f>
        <v>43.92</v>
      </c>
    </row>
    <row r="707" spans="1:14" x14ac:dyDescent="0.3">
      <c r="A707" s="3" t="s">
        <v>45</v>
      </c>
      <c r="B707" s="17">
        <v>2025</v>
      </c>
      <c r="C707" s="10">
        <v>45962</v>
      </c>
      <c r="D707" s="42" t="s">
        <v>77</v>
      </c>
      <c r="E707" s="1" t="s">
        <v>66</v>
      </c>
      <c r="F707" s="1" t="s">
        <v>67</v>
      </c>
      <c r="G707" s="1" t="s">
        <v>68</v>
      </c>
      <c r="H707" s="2" t="s">
        <v>69</v>
      </c>
      <c r="I707" s="1" t="s">
        <v>0</v>
      </c>
      <c r="J707" s="1" t="s">
        <v>9</v>
      </c>
      <c r="K707" s="1">
        <v>4</v>
      </c>
      <c r="L707" s="1">
        <v>610</v>
      </c>
      <c r="M707" s="28">
        <v>30104.47</v>
      </c>
      <c r="N707" s="39">
        <f>Data[[#This Row],[Gross Wages]]/Data[[#This Row],[No. of Hours Worked]]</f>
        <v>49.351590163934425</v>
      </c>
    </row>
    <row r="708" spans="1:14" x14ac:dyDescent="0.3">
      <c r="A708" s="15" t="s">
        <v>45</v>
      </c>
      <c r="B708" s="17">
        <v>2025</v>
      </c>
      <c r="C708" s="10">
        <v>45962</v>
      </c>
      <c r="D708" s="42" t="s">
        <v>77</v>
      </c>
      <c r="E708" s="1" t="s">
        <v>66</v>
      </c>
      <c r="F708" s="1" t="s">
        <v>67</v>
      </c>
      <c r="G708" s="1" t="s">
        <v>68</v>
      </c>
      <c r="H708" s="2" t="s">
        <v>69</v>
      </c>
      <c r="I708" s="1" t="s">
        <v>2</v>
      </c>
      <c r="J708" s="1" t="s">
        <v>10</v>
      </c>
      <c r="K708" s="1">
        <v>1</v>
      </c>
      <c r="L708" s="1">
        <v>146</v>
      </c>
      <c r="M708" s="28">
        <v>7094.22</v>
      </c>
      <c r="N708" s="39">
        <f>Data[[#This Row],[Gross Wages]]/Data[[#This Row],[No. of Hours Worked]]</f>
        <v>48.590547945205479</v>
      </c>
    </row>
    <row r="709" spans="1:14" x14ac:dyDescent="0.3">
      <c r="A709" s="15" t="s">
        <v>45</v>
      </c>
      <c r="B709" s="17">
        <v>2025</v>
      </c>
      <c r="C709" s="10">
        <v>45962</v>
      </c>
      <c r="D709" s="42" t="s">
        <v>77</v>
      </c>
      <c r="E709" s="1" t="s">
        <v>66</v>
      </c>
      <c r="F709" s="1" t="s">
        <v>90</v>
      </c>
      <c r="G709" s="1" t="s">
        <v>68</v>
      </c>
      <c r="H709" s="2" t="s">
        <v>99</v>
      </c>
      <c r="I709" s="1" t="s">
        <v>0</v>
      </c>
      <c r="J709" s="1" t="s">
        <v>9</v>
      </c>
      <c r="K709" s="1">
        <v>3</v>
      </c>
      <c r="L709" s="1">
        <v>104</v>
      </c>
      <c r="M709" s="28">
        <v>4498</v>
      </c>
      <c r="N709" s="39">
        <f>Data[[#This Row],[Gross Wages]]/Data[[#This Row],[No. of Hours Worked]]</f>
        <v>43.25</v>
      </c>
    </row>
    <row r="710" spans="1:14" x14ac:dyDescent="0.3">
      <c r="A710" s="3" t="s">
        <v>161</v>
      </c>
      <c r="B710" s="17">
        <v>2025</v>
      </c>
      <c r="C710" s="10">
        <v>45962</v>
      </c>
      <c r="D710" s="42" t="s">
        <v>77</v>
      </c>
      <c r="E710" s="17" t="s">
        <v>66</v>
      </c>
      <c r="F710" s="17" t="s">
        <v>70</v>
      </c>
      <c r="G710" s="17" t="s">
        <v>68</v>
      </c>
      <c r="H710" s="35" t="s">
        <v>71</v>
      </c>
      <c r="I710" s="17" t="s">
        <v>0</v>
      </c>
      <c r="J710" s="17" t="s">
        <v>9</v>
      </c>
      <c r="K710" s="17">
        <v>1</v>
      </c>
      <c r="L710" s="17">
        <v>6.5</v>
      </c>
      <c r="M710" s="43">
        <v>357.37</v>
      </c>
      <c r="N710" s="39">
        <f>Data[[#This Row],[Gross Wages]]/Data[[#This Row],[No. of Hours Worked]]</f>
        <v>54.980000000000004</v>
      </c>
    </row>
    <row r="711" spans="1:14" x14ac:dyDescent="0.3">
      <c r="A711" s="3" t="s">
        <v>46</v>
      </c>
      <c r="B711" s="17">
        <v>2025</v>
      </c>
      <c r="C711" s="10">
        <v>45962</v>
      </c>
      <c r="D711" s="42" t="s">
        <v>77</v>
      </c>
      <c r="E711" s="17" t="s">
        <v>66</v>
      </c>
      <c r="F711" s="17" t="s">
        <v>70</v>
      </c>
      <c r="G711" s="17" t="s">
        <v>68</v>
      </c>
      <c r="H711" s="35" t="s">
        <v>71</v>
      </c>
      <c r="I711" s="17" t="s">
        <v>0</v>
      </c>
      <c r="J711" s="17" t="s">
        <v>9</v>
      </c>
      <c r="K711" s="17">
        <v>5</v>
      </c>
      <c r="L711" s="17">
        <v>146</v>
      </c>
      <c r="M711" s="43">
        <v>7792.84</v>
      </c>
      <c r="N711" s="39">
        <f>Data[[#This Row],[Gross Wages]]/Data[[#This Row],[No. of Hours Worked]]</f>
        <v>53.375616438356168</v>
      </c>
    </row>
    <row r="712" spans="1:14" x14ac:dyDescent="0.3">
      <c r="A712" s="3" t="s">
        <v>46</v>
      </c>
      <c r="B712" s="17">
        <v>2025</v>
      </c>
      <c r="C712" s="11">
        <v>45962</v>
      </c>
      <c r="D712" s="42" t="s">
        <v>77</v>
      </c>
      <c r="E712" s="17" t="s">
        <v>66</v>
      </c>
      <c r="F712" s="17" t="s">
        <v>75</v>
      </c>
      <c r="G712" s="17" t="s">
        <v>68</v>
      </c>
      <c r="H712" s="35" t="s">
        <v>76</v>
      </c>
      <c r="I712" s="17" t="s">
        <v>0</v>
      </c>
      <c r="J712" s="17" t="s">
        <v>9</v>
      </c>
      <c r="K712" s="17">
        <v>4</v>
      </c>
      <c r="L712" s="17">
        <v>36</v>
      </c>
      <c r="M712" s="43">
        <v>2877.48</v>
      </c>
      <c r="N712" s="39">
        <f>Data[[#This Row],[Gross Wages]]/Data[[#This Row],[No. of Hours Worked]]</f>
        <v>79.930000000000007</v>
      </c>
    </row>
    <row r="713" spans="1:14" x14ac:dyDescent="0.3">
      <c r="A713" s="3" t="s">
        <v>46</v>
      </c>
      <c r="B713" s="17">
        <v>2025</v>
      </c>
      <c r="C713" s="11">
        <v>45962</v>
      </c>
      <c r="D713" s="42" t="s">
        <v>77</v>
      </c>
      <c r="E713" s="17" t="s">
        <v>66</v>
      </c>
      <c r="F713" s="17" t="s">
        <v>72</v>
      </c>
      <c r="G713" s="17" t="s">
        <v>73</v>
      </c>
      <c r="H713" s="35" t="s">
        <v>74</v>
      </c>
      <c r="I713" s="17" t="s">
        <v>0</v>
      </c>
      <c r="J713" s="17" t="s">
        <v>9</v>
      </c>
      <c r="K713" s="17">
        <v>4</v>
      </c>
      <c r="L713" s="17">
        <v>52</v>
      </c>
      <c r="M713" s="43">
        <v>2610.4</v>
      </c>
      <c r="N713" s="39">
        <f>Data[[#This Row],[Gross Wages]]/Data[[#This Row],[No. of Hours Worked]]</f>
        <v>50.2</v>
      </c>
    </row>
    <row r="714" spans="1:14" x14ac:dyDescent="0.3">
      <c r="A714" s="3" t="s">
        <v>127</v>
      </c>
      <c r="B714" s="17">
        <v>2025</v>
      </c>
      <c r="C714" s="11">
        <v>45962</v>
      </c>
      <c r="D714" s="42" t="s">
        <v>77</v>
      </c>
      <c r="E714" s="75" t="s">
        <v>66</v>
      </c>
      <c r="F714" s="75" t="s">
        <v>93</v>
      </c>
      <c r="G714" s="76" t="s">
        <v>68</v>
      </c>
      <c r="H714" s="77" t="s">
        <v>94</v>
      </c>
      <c r="I714" s="78" t="s">
        <v>0</v>
      </c>
      <c r="J714" s="71" t="s">
        <v>9</v>
      </c>
      <c r="K714" s="71">
        <v>1</v>
      </c>
      <c r="L714" s="71">
        <v>24</v>
      </c>
      <c r="M714" s="25">
        <v>808.32</v>
      </c>
      <c r="N714" s="39">
        <f>Data[[#This Row],[Gross Wages]]/Data[[#This Row],[No. of Hours Worked]]</f>
        <v>33.68</v>
      </c>
    </row>
    <row r="715" spans="1:14" x14ac:dyDescent="0.3">
      <c r="A715" s="3" t="s">
        <v>127</v>
      </c>
      <c r="B715" s="17">
        <v>2025</v>
      </c>
      <c r="C715" s="11">
        <v>45962</v>
      </c>
      <c r="D715" s="42" t="s">
        <v>77</v>
      </c>
      <c r="E715" s="18" t="s">
        <v>66</v>
      </c>
      <c r="F715" s="18" t="s">
        <v>93</v>
      </c>
      <c r="G715" s="19" t="s">
        <v>68</v>
      </c>
      <c r="H715" s="23" t="s">
        <v>94</v>
      </c>
      <c r="I715" s="1" t="s">
        <v>1</v>
      </c>
      <c r="J715" s="74" t="s">
        <v>9</v>
      </c>
      <c r="K715" s="74">
        <v>1</v>
      </c>
      <c r="L715" s="74">
        <v>34</v>
      </c>
      <c r="M715" s="20">
        <v>932.96</v>
      </c>
      <c r="N715" s="39">
        <f>Data[[#This Row],[Gross Wages]]/Data[[#This Row],[No. of Hours Worked]]</f>
        <v>27.44</v>
      </c>
    </row>
    <row r="716" spans="1:14" x14ac:dyDescent="0.3">
      <c r="A716" s="3" t="s">
        <v>140</v>
      </c>
      <c r="B716" s="17">
        <v>2025</v>
      </c>
      <c r="C716" s="11">
        <v>45962</v>
      </c>
      <c r="D716" s="42" t="s">
        <v>77</v>
      </c>
      <c r="E716" s="69" t="s">
        <v>66</v>
      </c>
      <c r="F716" s="69" t="s">
        <v>70</v>
      </c>
      <c r="G716" s="69" t="s">
        <v>68</v>
      </c>
      <c r="H716" s="35" t="s">
        <v>71</v>
      </c>
      <c r="I716" s="69" t="s">
        <v>0</v>
      </c>
      <c r="J716" s="69" t="s">
        <v>9</v>
      </c>
      <c r="K716" s="69">
        <v>7</v>
      </c>
      <c r="L716" s="69">
        <v>738</v>
      </c>
      <c r="M716" s="43">
        <v>22014.66</v>
      </c>
      <c r="N716" s="39">
        <f>Data[[#This Row],[Gross Wages]]/Data[[#This Row],[No. of Hours Worked]]</f>
        <v>29.830162601626014</v>
      </c>
    </row>
    <row r="717" spans="1:14" x14ac:dyDescent="0.3">
      <c r="A717" s="3" t="s">
        <v>140</v>
      </c>
      <c r="B717" s="17">
        <v>2025</v>
      </c>
      <c r="C717" s="10">
        <v>45962</v>
      </c>
      <c r="D717" s="42" t="s">
        <v>77</v>
      </c>
      <c r="E717" s="67" t="s">
        <v>66</v>
      </c>
      <c r="F717" s="67" t="s">
        <v>72</v>
      </c>
      <c r="G717" s="67" t="s">
        <v>73</v>
      </c>
      <c r="H717" s="2" t="s">
        <v>74</v>
      </c>
      <c r="I717" s="67" t="s">
        <v>0</v>
      </c>
      <c r="J717" s="67" t="s">
        <v>9</v>
      </c>
      <c r="K717" s="67">
        <v>2</v>
      </c>
      <c r="L717" s="67">
        <v>93</v>
      </c>
      <c r="M717" s="28">
        <v>2790</v>
      </c>
      <c r="N717" s="39">
        <f>Data[[#This Row],[Gross Wages]]/Data[[#This Row],[No. of Hours Worked]]</f>
        <v>30</v>
      </c>
    </row>
    <row r="718" spans="1:14" x14ac:dyDescent="0.3">
      <c r="A718" s="3" t="s">
        <v>140</v>
      </c>
      <c r="B718" s="17">
        <v>2025</v>
      </c>
      <c r="C718" s="10">
        <v>45962</v>
      </c>
      <c r="D718" s="42" t="s">
        <v>77</v>
      </c>
      <c r="E718" s="67" t="s">
        <v>66</v>
      </c>
      <c r="F718" s="67" t="s">
        <v>141</v>
      </c>
      <c r="G718" s="67" t="s">
        <v>68</v>
      </c>
      <c r="H718" s="2" t="s">
        <v>142</v>
      </c>
      <c r="I718" s="67" t="s">
        <v>0</v>
      </c>
      <c r="J718" s="67" t="s">
        <v>9</v>
      </c>
      <c r="K718" s="67">
        <v>2</v>
      </c>
      <c r="L718" s="67">
        <v>166</v>
      </c>
      <c r="M718" s="28">
        <v>5183.26</v>
      </c>
      <c r="N718" s="39">
        <f>Data[[#This Row],[Gross Wages]]/Data[[#This Row],[No. of Hours Worked]]</f>
        <v>31.224457831325303</v>
      </c>
    </row>
    <row r="719" spans="1:14" x14ac:dyDescent="0.3">
      <c r="A719" s="3" t="s">
        <v>106</v>
      </c>
      <c r="B719" s="1">
        <v>2025</v>
      </c>
      <c r="C719" s="10">
        <v>45962</v>
      </c>
      <c r="D719" s="34" t="s">
        <v>77</v>
      </c>
      <c r="E719" s="17" t="s">
        <v>66</v>
      </c>
      <c r="F719" s="17" t="s">
        <v>90</v>
      </c>
      <c r="G719" s="17" t="s">
        <v>68</v>
      </c>
      <c r="H719" s="35" t="s">
        <v>99</v>
      </c>
      <c r="I719" s="17" t="s">
        <v>0</v>
      </c>
      <c r="J719" s="17" t="s">
        <v>9</v>
      </c>
      <c r="K719" s="17">
        <v>1</v>
      </c>
      <c r="L719" s="17">
        <v>8</v>
      </c>
      <c r="M719" s="43">
        <v>265.92</v>
      </c>
      <c r="N719" s="39">
        <f>Data[[#This Row],[Gross Wages]]/Data[[#This Row],[No. of Hours Worked]]</f>
        <v>33.24</v>
      </c>
    </row>
    <row r="720" spans="1:14" x14ac:dyDescent="0.3">
      <c r="A720" s="66" t="s">
        <v>171</v>
      </c>
      <c r="B720" s="17">
        <v>2025</v>
      </c>
      <c r="C720" s="11">
        <v>45962</v>
      </c>
      <c r="D720" s="42" t="s">
        <v>77</v>
      </c>
      <c r="E720" s="67" t="s">
        <v>66</v>
      </c>
      <c r="F720" s="67" t="s">
        <v>107</v>
      </c>
      <c r="G720" s="67" t="s">
        <v>68</v>
      </c>
      <c r="H720" s="2" t="s">
        <v>108</v>
      </c>
      <c r="I720" s="67" t="s">
        <v>0</v>
      </c>
      <c r="J720" s="67" t="s">
        <v>9</v>
      </c>
      <c r="K720" s="67">
        <v>2</v>
      </c>
      <c r="L720" s="67">
        <v>56</v>
      </c>
      <c r="M720" s="28">
        <v>3101.28</v>
      </c>
      <c r="N720" s="39">
        <f>Data[[#This Row],[Gross Wages]]/Data[[#This Row],[No. of Hours Worked]]</f>
        <v>55.38</v>
      </c>
    </row>
    <row r="721" spans="1:14" x14ac:dyDescent="0.3">
      <c r="A721" s="15" t="s">
        <v>112</v>
      </c>
      <c r="B721" s="17">
        <v>2025</v>
      </c>
      <c r="C721" s="10">
        <v>45962</v>
      </c>
      <c r="D721" s="42" t="s">
        <v>77</v>
      </c>
      <c r="E721" s="1" t="s">
        <v>66</v>
      </c>
      <c r="F721" s="1" t="s">
        <v>109</v>
      </c>
      <c r="G721" s="1" t="s">
        <v>68</v>
      </c>
      <c r="H721" s="2" t="s">
        <v>110</v>
      </c>
      <c r="I721" s="1" t="s">
        <v>0</v>
      </c>
      <c r="J721" s="1" t="s">
        <v>9</v>
      </c>
      <c r="K721" s="1">
        <v>5</v>
      </c>
      <c r="L721" s="1">
        <v>187</v>
      </c>
      <c r="M721" s="28">
        <v>5353.5</v>
      </c>
      <c r="N721" s="39">
        <f>Data[[#This Row],[Gross Wages]]/Data[[#This Row],[No. of Hours Worked]]</f>
        <v>28.628342245989305</v>
      </c>
    </row>
    <row r="722" spans="1:14" x14ac:dyDescent="0.3">
      <c r="A722" s="15" t="s">
        <v>112</v>
      </c>
      <c r="B722" s="17">
        <v>2025</v>
      </c>
      <c r="C722" s="11">
        <v>45962</v>
      </c>
      <c r="D722" s="42" t="s">
        <v>77</v>
      </c>
      <c r="E722" s="1" t="s">
        <v>66</v>
      </c>
      <c r="F722" s="1" t="s">
        <v>109</v>
      </c>
      <c r="G722" s="1" t="s">
        <v>68</v>
      </c>
      <c r="H722" s="2" t="s">
        <v>110</v>
      </c>
      <c r="I722" s="1" t="s">
        <v>0</v>
      </c>
      <c r="J722" s="1" t="s">
        <v>10</v>
      </c>
      <c r="K722" s="1">
        <v>3</v>
      </c>
      <c r="L722" s="1">
        <v>160</v>
      </c>
      <c r="M722" s="28">
        <v>4118.3999999999996</v>
      </c>
      <c r="N722" s="39">
        <f>Data[[#This Row],[Gross Wages]]/Data[[#This Row],[No. of Hours Worked]]</f>
        <v>25.74</v>
      </c>
    </row>
    <row r="723" spans="1:14" x14ac:dyDescent="0.3">
      <c r="A723" s="15" t="s">
        <v>112</v>
      </c>
      <c r="B723" s="17">
        <v>2025</v>
      </c>
      <c r="C723" s="10">
        <v>45962</v>
      </c>
      <c r="D723" s="42" t="s">
        <v>77</v>
      </c>
      <c r="E723" s="17" t="s">
        <v>66</v>
      </c>
      <c r="F723" s="17" t="s">
        <v>109</v>
      </c>
      <c r="G723" s="17" t="s">
        <v>68</v>
      </c>
      <c r="H723" s="35" t="s">
        <v>110</v>
      </c>
      <c r="I723" s="17" t="s">
        <v>111</v>
      </c>
      <c r="J723" s="17" t="s">
        <v>9</v>
      </c>
      <c r="K723" s="17">
        <v>2</v>
      </c>
      <c r="L723" s="17">
        <v>239.5</v>
      </c>
      <c r="M723" s="43">
        <v>7054.13</v>
      </c>
      <c r="N723" s="39">
        <f>Data[[#This Row],[Gross Wages]]/Data[[#This Row],[No. of Hours Worked]]</f>
        <v>29.453569937369519</v>
      </c>
    </row>
    <row r="724" spans="1:14" x14ac:dyDescent="0.3">
      <c r="A724" s="15" t="s">
        <v>150</v>
      </c>
      <c r="B724" s="17">
        <v>2025</v>
      </c>
      <c r="C724" s="11">
        <v>45962</v>
      </c>
      <c r="D724" s="42" t="s">
        <v>77</v>
      </c>
      <c r="E724" s="1" t="s">
        <v>66</v>
      </c>
      <c r="F724" s="1" t="s">
        <v>148</v>
      </c>
      <c r="G724" s="1" t="s">
        <v>68</v>
      </c>
      <c r="H724" s="2" t="s">
        <v>149</v>
      </c>
      <c r="I724" s="1" t="s">
        <v>0</v>
      </c>
      <c r="J724" s="1" t="s">
        <v>9</v>
      </c>
      <c r="K724" s="1">
        <v>3</v>
      </c>
      <c r="L724" s="1">
        <v>160</v>
      </c>
      <c r="M724" s="28">
        <v>5586.12</v>
      </c>
      <c r="N724" s="39">
        <f>Data[[#This Row],[Gross Wages]]/Data[[#This Row],[No. of Hours Worked]]</f>
        <v>34.913249999999998</v>
      </c>
    </row>
    <row r="725" spans="1:14" x14ac:dyDescent="0.3">
      <c r="A725" s="15" t="s">
        <v>48</v>
      </c>
      <c r="B725" s="17">
        <v>2025</v>
      </c>
      <c r="C725" s="10">
        <v>45962</v>
      </c>
      <c r="D725" s="42" t="s">
        <v>77</v>
      </c>
      <c r="E725" s="1" t="s">
        <v>66</v>
      </c>
      <c r="F725" s="1" t="s">
        <v>84</v>
      </c>
      <c r="G725" s="1" t="s">
        <v>68</v>
      </c>
      <c r="H725" s="2" t="s">
        <v>85</v>
      </c>
      <c r="I725" s="1" t="s">
        <v>1</v>
      </c>
      <c r="J725" s="1" t="s">
        <v>9</v>
      </c>
      <c r="K725" s="1">
        <v>2</v>
      </c>
      <c r="L725" s="1">
        <v>186</v>
      </c>
      <c r="M725" s="16">
        <v>9092.5400000000009</v>
      </c>
      <c r="N725" s="39">
        <f>Data[[#This Row],[Gross Wages]]/Data[[#This Row],[No. of Hours Worked]]</f>
        <v>48.884623655913984</v>
      </c>
    </row>
    <row r="726" spans="1:14" x14ac:dyDescent="0.3">
      <c r="A726" s="15" t="s">
        <v>48</v>
      </c>
      <c r="B726" s="17">
        <v>2025</v>
      </c>
      <c r="C726" s="10">
        <v>45962</v>
      </c>
      <c r="D726" s="42" t="s">
        <v>77</v>
      </c>
      <c r="E726" s="1" t="s">
        <v>66</v>
      </c>
      <c r="F726" s="1" t="s">
        <v>84</v>
      </c>
      <c r="G726" s="1" t="s">
        <v>68</v>
      </c>
      <c r="H726" s="2" t="s">
        <v>85</v>
      </c>
      <c r="I726" s="1" t="s">
        <v>0</v>
      </c>
      <c r="J726" s="1" t="s">
        <v>9</v>
      </c>
      <c r="K726" s="1">
        <v>22</v>
      </c>
      <c r="L726" s="59">
        <v>2297.5</v>
      </c>
      <c r="M726" s="16">
        <v>101662.67</v>
      </c>
      <c r="N726" s="39">
        <f>Data[[#This Row],[Gross Wages]]/Data[[#This Row],[No. of Hours Worked]]</f>
        <v>44.24925788900979</v>
      </c>
    </row>
    <row r="727" spans="1:14" x14ac:dyDescent="0.3">
      <c r="A727" s="15" t="s">
        <v>49</v>
      </c>
      <c r="B727" s="17">
        <v>2025</v>
      </c>
      <c r="C727" s="10">
        <v>45962</v>
      </c>
      <c r="D727" s="34" t="s">
        <v>77</v>
      </c>
      <c r="E727" s="1" t="s">
        <v>66</v>
      </c>
      <c r="F727" s="1" t="s">
        <v>67</v>
      </c>
      <c r="G727" s="1" t="s">
        <v>68</v>
      </c>
      <c r="H727" s="2" t="s">
        <v>69</v>
      </c>
      <c r="I727" s="1" t="s">
        <v>0</v>
      </c>
      <c r="J727" s="1" t="s">
        <v>9</v>
      </c>
      <c r="K727" s="1">
        <v>3</v>
      </c>
      <c r="L727" s="1">
        <v>388</v>
      </c>
      <c r="M727" s="28">
        <v>29647.08</v>
      </c>
      <c r="N727" s="39">
        <f>Data[[#This Row],[Gross Wages]]/Data[[#This Row],[No. of Hours Worked]]</f>
        <v>76.410000000000011</v>
      </c>
    </row>
    <row r="728" spans="1:14" x14ac:dyDescent="0.3">
      <c r="A728" s="15" t="s">
        <v>52</v>
      </c>
      <c r="B728" s="1">
        <v>2025</v>
      </c>
      <c r="C728" s="10">
        <v>45962</v>
      </c>
      <c r="D728" s="34" t="s">
        <v>77</v>
      </c>
      <c r="E728" s="1" t="s">
        <v>66</v>
      </c>
      <c r="F728" s="1" t="s">
        <v>90</v>
      </c>
      <c r="G728" s="1" t="s">
        <v>68</v>
      </c>
      <c r="H728" s="2" t="s">
        <v>99</v>
      </c>
      <c r="I728" s="1" t="s">
        <v>0</v>
      </c>
      <c r="J728" s="1" t="s">
        <v>9</v>
      </c>
      <c r="K728" s="1">
        <v>3</v>
      </c>
      <c r="L728" s="1">
        <v>90.5</v>
      </c>
      <c r="M728" s="28">
        <v>5992.58</v>
      </c>
      <c r="N728" s="39">
        <f>Data[[#This Row],[Gross Wages]]/Data[[#This Row],[No. of Hours Worked]]</f>
        <v>66.216353591160214</v>
      </c>
    </row>
    <row r="729" spans="1:14" x14ac:dyDescent="0.3">
      <c r="A729" s="15" t="s">
        <v>123</v>
      </c>
      <c r="B729" s="1">
        <v>2025</v>
      </c>
      <c r="C729" s="10">
        <v>45962</v>
      </c>
      <c r="D729" s="34" t="s">
        <v>77</v>
      </c>
      <c r="E729" s="1" t="s">
        <v>80</v>
      </c>
      <c r="F729" s="1" t="s">
        <v>151</v>
      </c>
      <c r="G729" s="1" t="s">
        <v>68</v>
      </c>
      <c r="H729" s="2" t="s">
        <v>152</v>
      </c>
      <c r="I729" s="1" t="s">
        <v>0</v>
      </c>
      <c r="J729" s="1" t="s">
        <v>9</v>
      </c>
      <c r="K729" s="1">
        <v>3</v>
      </c>
      <c r="L729" s="1">
        <v>304</v>
      </c>
      <c r="M729" s="28">
        <v>12390.48</v>
      </c>
      <c r="N729" s="39">
        <f>Data[[#This Row],[Gross Wages]]/Data[[#This Row],[No. of Hours Worked]]</f>
        <v>40.75815789473684</v>
      </c>
    </row>
    <row r="730" spans="1:14" x14ac:dyDescent="0.3">
      <c r="A730" s="15" t="s">
        <v>123</v>
      </c>
      <c r="B730" s="17">
        <v>2025</v>
      </c>
      <c r="C730" s="10">
        <v>45962</v>
      </c>
      <c r="D730" s="42" t="s">
        <v>77</v>
      </c>
      <c r="E730" s="1" t="s">
        <v>80</v>
      </c>
      <c r="F730" s="1" t="s">
        <v>151</v>
      </c>
      <c r="G730" s="1" t="s">
        <v>68</v>
      </c>
      <c r="H730" s="2" t="s">
        <v>152</v>
      </c>
      <c r="I730" s="1" t="s">
        <v>2</v>
      </c>
      <c r="J730" s="1" t="s">
        <v>9</v>
      </c>
      <c r="K730" s="1">
        <v>1</v>
      </c>
      <c r="L730" s="1">
        <v>40</v>
      </c>
      <c r="M730" s="28">
        <v>1932.4</v>
      </c>
      <c r="N730" s="39">
        <f>Data[[#This Row],[Gross Wages]]/Data[[#This Row],[No. of Hours Worked]]</f>
        <v>48.31</v>
      </c>
    </row>
    <row r="731" spans="1:14" x14ac:dyDescent="0.3">
      <c r="A731" s="68" t="s">
        <v>43</v>
      </c>
      <c r="B731" s="17">
        <v>2025</v>
      </c>
      <c r="C731" s="10">
        <v>45992</v>
      </c>
      <c r="D731" s="42" t="s">
        <v>77</v>
      </c>
      <c r="E731" s="69" t="s">
        <v>80</v>
      </c>
      <c r="F731" s="69" t="s">
        <v>88</v>
      </c>
      <c r="G731" s="69" t="s">
        <v>68</v>
      </c>
      <c r="H731" s="35" t="s">
        <v>89</v>
      </c>
      <c r="I731" s="69" t="s">
        <v>0</v>
      </c>
      <c r="J731" s="69" t="s">
        <v>9</v>
      </c>
      <c r="K731" s="69">
        <v>2</v>
      </c>
      <c r="L731" s="69">
        <v>269</v>
      </c>
      <c r="M731" s="43">
        <v>11827.4</v>
      </c>
      <c r="N731" s="39">
        <f>Data[[#This Row],[Gross Wages]]/Data[[#This Row],[No. of Hours Worked]]</f>
        <v>43.968029739776952</v>
      </c>
    </row>
    <row r="732" spans="1:14" x14ac:dyDescent="0.3">
      <c r="A732" s="3" t="s">
        <v>124</v>
      </c>
      <c r="B732" s="17">
        <v>2025</v>
      </c>
      <c r="C732" s="10">
        <v>45992</v>
      </c>
      <c r="D732" s="42" t="s">
        <v>77</v>
      </c>
      <c r="E732" s="67" t="s">
        <v>66</v>
      </c>
      <c r="F732" s="67" t="s">
        <v>125</v>
      </c>
      <c r="G732" s="67" t="s">
        <v>68</v>
      </c>
      <c r="H732" s="2" t="s">
        <v>126</v>
      </c>
      <c r="I732" s="67" t="s">
        <v>0</v>
      </c>
      <c r="J732" s="67" t="s">
        <v>9</v>
      </c>
      <c r="K732" s="67">
        <v>3</v>
      </c>
      <c r="L732" s="67">
        <v>26</v>
      </c>
      <c r="M732" s="28">
        <v>1468.94</v>
      </c>
      <c r="N732" s="39">
        <f>Data[[#This Row],[Gross Wages]]/Data[[#This Row],[No. of Hours Worked]]</f>
        <v>56.497692307692311</v>
      </c>
    </row>
    <row r="733" spans="1:14" x14ac:dyDescent="0.3">
      <c r="A733" s="3" t="s">
        <v>46</v>
      </c>
      <c r="B733" s="17">
        <v>2025</v>
      </c>
      <c r="C733" s="11">
        <v>45992</v>
      </c>
      <c r="D733" s="42" t="s">
        <v>77</v>
      </c>
      <c r="E733" s="67" t="s">
        <v>66</v>
      </c>
      <c r="F733" s="67" t="s">
        <v>70</v>
      </c>
      <c r="G733" s="67" t="s">
        <v>68</v>
      </c>
      <c r="H733" s="2" t="s">
        <v>71</v>
      </c>
      <c r="I733" s="67" t="s">
        <v>0</v>
      </c>
      <c r="J733" s="67" t="s">
        <v>9</v>
      </c>
      <c r="K733" s="67">
        <v>8</v>
      </c>
      <c r="L733" s="67">
        <v>259</v>
      </c>
      <c r="M733" s="28">
        <v>14110.76</v>
      </c>
      <c r="N733" s="39">
        <f>Data[[#This Row],[Gross Wages]]/Data[[#This Row],[No. of Hours Worked]]</f>
        <v>54.481698841698844</v>
      </c>
    </row>
    <row r="734" spans="1:14" x14ac:dyDescent="0.3">
      <c r="A734" s="3" t="s">
        <v>46</v>
      </c>
      <c r="B734" s="17">
        <v>2025</v>
      </c>
      <c r="C734" s="11">
        <v>45992</v>
      </c>
      <c r="D734" s="42" t="s">
        <v>77</v>
      </c>
      <c r="E734" s="67" t="s">
        <v>66</v>
      </c>
      <c r="F734" s="67" t="s">
        <v>75</v>
      </c>
      <c r="G734" s="67" t="s">
        <v>68</v>
      </c>
      <c r="H734" s="2" t="s">
        <v>76</v>
      </c>
      <c r="I734" s="67" t="s">
        <v>0</v>
      </c>
      <c r="J734" s="67" t="s">
        <v>9</v>
      </c>
      <c r="K734" s="67">
        <v>1</v>
      </c>
      <c r="L734" s="67">
        <v>8</v>
      </c>
      <c r="M734" s="28">
        <v>641.84</v>
      </c>
      <c r="N734" s="39">
        <f>Data[[#This Row],[Gross Wages]]/Data[[#This Row],[No. of Hours Worked]]</f>
        <v>80.23</v>
      </c>
    </row>
    <row r="735" spans="1:14" x14ac:dyDescent="0.3">
      <c r="A735" s="3" t="s">
        <v>46</v>
      </c>
      <c r="B735" s="17">
        <v>2025</v>
      </c>
      <c r="C735" s="10">
        <v>45992</v>
      </c>
      <c r="D735" s="42" t="s">
        <v>77</v>
      </c>
      <c r="E735" s="67" t="s">
        <v>66</v>
      </c>
      <c r="F735" s="67" t="s">
        <v>72</v>
      </c>
      <c r="G735" s="67" t="s">
        <v>73</v>
      </c>
      <c r="H735" s="2" t="s">
        <v>74</v>
      </c>
      <c r="I735" s="67" t="s">
        <v>0</v>
      </c>
      <c r="J735" s="67" t="s">
        <v>9</v>
      </c>
      <c r="K735" s="67">
        <v>1</v>
      </c>
      <c r="L735" s="67">
        <v>8</v>
      </c>
      <c r="M735" s="28">
        <v>401.6</v>
      </c>
      <c r="N735" s="39">
        <f>Data[[#This Row],[Gross Wages]]/Data[[#This Row],[No. of Hours Worked]]</f>
        <v>50.2</v>
      </c>
    </row>
    <row r="736" spans="1:14" x14ac:dyDescent="0.3">
      <c r="A736" s="3" t="s">
        <v>106</v>
      </c>
      <c r="B736" s="17">
        <v>2025</v>
      </c>
      <c r="C736" s="10">
        <v>45992</v>
      </c>
      <c r="D736" s="42" t="s">
        <v>77</v>
      </c>
      <c r="E736" s="67" t="s">
        <v>66</v>
      </c>
      <c r="F736" s="67" t="s">
        <v>90</v>
      </c>
      <c r="G736" s="67" t="s">
        <v>68</v>
      </c>
      <c r="H736" s="2" t="s">
        <v>99</v>
      </c>
      <c r="I736" s="67" t="s">
        <v>0</v>
      </c>
      <c r="J736" s="67" t="s">
        <v>9</v>
      </c>
      <c r="K736" s="67">
        <v>2</v>
      </c>
      <c r="L736" s="67">
        <v>10</v>
      </c>
      <c r="M736" s="28">
        <v>331.15</v>
      </c>
      <c r="N736" s="39">
        <f>Data[[#This Row],[Gross Wages]]/Data[[#This Row],[No. of Hours Worked]]</f>
        <v>33.114999999999995</v>
      </c>
    </row>
    <row r="737" spans="1:14" x14ac:dyDescent="0.3">
      <c r="A737" s="68" t="s">
        <v>171</v>
      </c>
      <c r="B737" s="1">
        <v>2025</v>
      </c>
      <c r="C737" s="10">
        <v>45992</v>
      </c>
      <c r="D737" s="34" t="s">
        <v>77</v>
      </c>
      <c r="E737" s="67" t="s">
        <v>66</v>
      </c>
      <c r="F737" s="67" t="s">
        <v>107</v>
      </c>
      <c r="G737" s="67" t="s">
        <v>68</v>
      </c>
      <c r="H737" s="2" t="s">
        <v>108</v>
      </c>
      <c r="I737" s="67" t="s">
        <v>0</v>
      </c>
      <c r="J737" s="67" t="s">
        <v>9</v>
      </c>
      <c r="K737" s="67">
        <v>4</v>
      </c>
      <c r="L737" s="67">
        <v>37</v>
      </c>
      <c r="M737" s="16">
        <v>1681.06</v>
      </c>
      <c r="N737" s="39">
        <f>Data[[#This Row],[Gross Wages]]/Data[[#This Row],[No. of Hours Worked]]</f>
        <v>45.434054054054052</v>
      </c>
    </row>
    <row r="738" spans="1:14" x14ac:dyDescent="0.3">
      <c r="A738" s="68" t="s">
        <v>48</v>
      </c>
      <c r="B738" s="17">
        <v>2025</v>
      </c>
      <c r="C738" s="11">
        <v>45992</v>
      </c>
      <c r="D738" s="42" t="s">
        <v>77</v>
      </c>
      <c r="E738" s="69" t="s">
        <v>66</v>
      </c>
      <c r="F738" s="69" t="s">
        <v>84</v>
      </c>
      <c r="G738" s="69" t="s">
        <v>68</v>
      </c>
      <c r="H738" s="35" t="s">
        <v>85</v>
      </c>
      <c r="I738" s="69" t="s">
        <v>0</v>
      </c>
      <c r="J738" s="69" t="s">
        <v>9</v>
      </c>
      <c r="K738" s="69">
        <v>2</v>
      </c>
      <c r="L738" s="69">
        <v>174</v>
      </c>
      <c r="M738" s="43">
        <v>7786.79</v>
      </c>
      <c r="N738" s="39">
        <f>Data[[#This Row],[Gross Wages]]/Data[[#This Row],[No. of Hours Worked]]</f>
        <v>44.751666666666665</v>
      </c>
    </row>
    <row r="739" spans="1:14" x14ac:dyDescent="0.3">
      <c r="A739" s="68" t="s">
        <v>49</v>
      </c>
      <c r="B739" s="17">
        <v>2025</v>
      </c>
      <c r="C739" s="11">
        <v>45992</v>
      </c>
      <c r="D739" s="42" t="s">
        <v>77</v>
      </c>
      <c r="E739" s="67" t="s">
        <v>66</v>
      </c>
      <c r="F739" s="67" t="s">
        <v>67</v>
      </c>
      <c r="G739" s="67" t="s">
        <v>68</v>
      </c>
      <c r="H739" s="2" t="s">
        <v>69</v>
      </c>
      <c r="I739" s="67" t="s">
        <v>0</v>
      </c>
      <c r="J739" s="67" t="s">
        <v>9</v>
      </c>
      <c r="K739" s="67">
        <v>8</v>
      </c>
      <c r="L739" s="67">
        <v>328</v>
      </c>
      <c r="M739" s="28">
        <v>26877.040000000001</v>
      </c>
      <c r="N739" s="39">
        <f>Data[[#This Row],[Gross Wages]]/Data[[#This Row],[No. of Hours Worked]]</f>
        <v>81.942195121951215</v>
      </c>
    </row>
    <row r="740" spans="1:14" x14ac:dyDescent="0.3">
      <c r="A740" s="66" t="s">
        <v>52</v>
      </c>
      <c r="B740" s="1">
        <v>2025</v>
      </c>
      <c r="C740" s="11">
        <v>45992</v>
      </c>
      <c r="D740" s="42" t="s">
        <v>77</v>
      </c>
      <c r="E740" s="67" t="s">
        <v>66</v>
      </c>
      <c r="F740" s="67" t="s">
        <v>90</v>
      </c>
      <c r="G740" s="67" t="s">
        <v>68</v>
      </c>
      <c r="H740" s="2" t="s">
        <v>99</v>
      </c>
      <c r="I740" s="67" t="s">
        <v>0</v>
      </c>
      <c r="J740" s="67" t="s">
        <v>9</v>
      </c>
      <c r="K740" s="67">
        <v>2</v>
      </c>
      <c r="L740" s="67">
        <v>88</v>
      </c>
      <c r="M740" s="28">
        <v>5966.13</v>
      </c>
      <c r="N740" s="39">
        <f>Data[[#This Row],[Gross Wages]]/Data[[#This Row],[No. of Hours Worked]]</f>
        <v>67.796931818181818</v>
      </c>
    </row>
    <row r="741" spans="1:14" x14ac:dyDescent="0.3">
      <c r="A741" s="66" t="s">
        <v>123</v>
      </c>
      <c r="B741" s="17">
        <v>2025</v>
      </c>
      <c r="C741" s="11">
        <v>45992</v>
      </c>
      <c r="D741" s="42" t="s">
        <v>77</v>
      </c>
      <c r="E741" s="67" t="s">
        <v>80</v>
      </c>
      <c r="F741" s="67" t="s">
        <v>151</v>
      </c>
      <c r="G741" s="67" t="s">
        <v>68</v>
      </c>
      <c r="H741" s="2" t="s">
        <v>152</v>
      </c>
      <c r="I741" s="67" t="s">
        <v>0</v>
      </c>
      <c r="J741" s="67" t="s">
        <v>9</v>
      </c>
      <c r="K741" s="67">
        <v>2</v>
      </c>
      <c r="L741" s="67">
        <v>152</v>
      </c>
      <c r="M741" s="28">
        <v>7081.2</v>
      </c>
      <c r="N741" s="39">
        <f>Data[[#This Row],[Gross Wages]]/Data[[#This Row],[No. of Hours Worked]]</f>
        <v>46.586842105263159</v>
      </c>
    </row>
    <row r="742" spans="1:14" x14ac:dyDescent="0.3">
      <c r="A742" s="66" t="s">
        <v>123</v>
      </c>
      <c r="B742" s="17">
        <v>2025</v>
      </c>
      <c r="C742" s="11">
        <v>45992</v>
      </c>
      <c r="D742" s="42" t="s">
        <v>77</v>
      </c>
      <c r="E742" s="67" t="s">
        <v>80</v>
      </c>
      <c r="F742" s="67" t="s">
        <v>151</v>
      </c>
      <c r="G742" s="67" t="s">
        <v>68</v>
      </c>
      <c r="H742" s="2" t="s">
        <v>152</v>
      </c>
      <c r="I742" s="67" t="s">
        <v>2</v>
      </c>
      <c r="J742" s="67" t="s">
        <v>9</v>
      </c>
      <c r="K742" s="67">
        <v>1</v>
      </c>
      <c r="L742" s="67">
        <v>40</v>
      </c>
      <c r="M742" s="28">
        <v>1932.4</v>
      </c>
      <c r="N742" s="39">
        <f>Data[[#This Row],[Gross Wages]]/Data[[#This Row],[No. of Hours Worked]]</f>
        <v>48.31</v>
      </c>
    </row>
    <row r="743" spans="1:14" x14ac:dyDescent="0.3">
      <c r="A743" s="15" t="s">
        <v>40</v>
      </c>
      <c r="B743" s="1">
        <v>2025</v>
      </c>
      <c r="C743" s="11">
        <v>45992</v>
      </c>
      <c r="D743" s="42" t="s">
        <v>77</v>
      </c>
      <c r="E743" s="1" t="s">
        <v>66</v>
      </c>
      <c r="F743" s="1" t="s">
        <v>91</v>
      </c>
      <c r="G743" s="1" t="s">
        <v>68</v>
      </c>
      <c r="H743" s="2" t="s">
        <v>92</v>
      </c>
      <c r="I743" s="1" t="s">
        <v>0</v>
      </c>
      <c r="J743" s="1" t="s">
        <v>9</v>
      </c>
      <c r="K743" s="1">
        <v>6</v>
      </c>
      <c r="L743" s="1">
        <v>435</v>
      </c>
      <c r="M743" s="28">
        <v>16840.41</v>
      </c>
      <c r="N743" s="39">
        <f>Data[[#This Row],[Gross Wages]]/Data[[#This Row],[No. of Hours Worked]]</f>
        <v>38.713586206896551</v>
      </c>
    </row>
    <row r="744" spans="1:14" x14ac:dyDescent="0.3">
      <c r="A744" s="3" t="s">
        <v>40</v>
      </c>
      <c r="B744" s="17">
        <v>2025</v>
      </c>
      <c r="C744" s="11">
        <v>45992</v>
      </c>
      <c r="D744" s="42" t="s">
        <v>77</v>
      </c>
      <c r="E744" s="1" t="s">
        <v>66</v>
      </c>
      <c r="F744" s="1" t="s">
        <v>91</v>
      </c>
      <c r="G744" s="1" t="s">
        <v>68</v>
      </c>
      <c r="H744" s="2" t="s">
        <v>92</v>
      </c>
      <c r="I744" s="1" t="s">
        <v>3</v>
      </c>
      <c r="J744" s="1" t="s">
        <v>9</v>
      </c>
      <c r="K744" s="1">
        <v>1</v>
      </c>
      <c r="L744" s="1">
        <v>24</v>
      </c>
      <c r="M744" s="28">
        <v>801.28</v>
      </c>
      <c r="N744" s="39">
        <f>Data[[#This Row],[Gross Wages]]/Data[[#This Row],[No. of Hours Worked]]</f>
        <v>33.386666666666663</v>
      </c>
    </row>
    <row r="745" spans="1:14" x14ac:dyDescent="0.3">
      <c r="A745" s="3" t="s">
        <v>137</v>
      </c>
      <c r="B745" s="17">
        <v>2025</v>
      </c>
      <c r="C745" s="11">
        <v>45992</v>
      </c>
      <c r="D745" s="42" t="s">
        <v>77</v>
      </c>
      <c r="E745" s="1" t="s">
        <v>80</v>
      </c>
      <c r="F745" s="1" t="s">
        <v>138</v>
      </c>
      <c r="G745" s="1" t="s">
        <v>68</v>
      </c>
      <c r="H745" s="2" t="s">
        <v>139</v>
      </c>
      <c r="I745" s="1" t="s">
        <v>0</v>
      </c>
      <c r="J745" s="1" t="s">
        <v>9</v>
      </c>
      <c r="K745" s="1">
        <v>3</v>
      </c>
      <c r="L745" s="1">
        <v>221.25</v>
      </c>
      <c r="M745" s="28">
        <v>16308.84</v>
      </c>
      <c r="N745" s="39">
        <f>Data[[#This Row],[Gross Wages]]/Data[[#This Row],[No. of Hours Worked]]</f>
        <v>73.712271186440674</v>
      </c>
    </row>
    <row r="746" spans="1:14" x14ac:dyDescent="0.3">
      <c r="A746" s="3" t="s">
        <v>45</v>
      </c>
      <c r="B746" s="1">
        <v>2025</v>
      </c>
      <c r="C746" s="11">
        <v>45992</v>
      </c>
      <c r="D746" s="42" t="s">
        <v>77</v>
      </c>
      <c r="E746" s="1" t="s">
        <v>66</v>
      </c>
      <c r="F746" s="1" t="s">
        <v>67</v>
      </c>
      <c r="G746" s="1" t="s">
        <v>68</v>
      </c>
      <c r="H746" s="2" t="s">
        <v>69</v>
      </c>
      <c r="I746" s="1" t="s">
        <v>0</v>
      </c>
      <c r="J746" s="1" t="s">
        <v>9</v>
      </c>
      <c r="K746" s="1">
        <v>4</v>
      </c>
      <c r="L746" s="1">
        <v>732</v>
      </c>
      <c r="M746" s="28">
        <v>36056</v>
      </c>
      <c r="N746" s="39">
        <f>Data[[#This Row],[Gross Wages]]/Data[[#This Row],[No. of Hours Worked]]</f>
        <v>49.256830601092894</v>
      </c>
    </row>
    <row r="747" spans="1:14" x14ac:dyDescent="0.3">
      <c r="A747" s="15" t="s">
        <v>45</v>
      </c>
      <c r="B747" s="17">
        <v>2025</v>
      </c>
      <c r="C747" s="10">
        <v>45992</v>
      </c>
      <c r="D747" s="42" t="s">
        <v>77</v>
      </c>
      <c r="E747" s="1" t="s">
        <v>66</v>
      </c>
      <c r="F747" s="1" t="s">
        <v>67</v>
      </c>
      <c r="G747" s="1" t="s">
        <v>68</v>
      </c>
      <c r="H747" s="2" t="s">
        <v>69</v>
      </c>
      <c r="I747" s="1" t="s">
        <v>2</v>
      </c>
      <c r="J747" s="1" t="s">
        <v>10</v>
      </c>
      <c r="K747" s="1">
        <v>1</v>
      </c>
      <c r="L747" s="1">
        <v>168</v>
      </c>
      <c r="M747" s="28">
        <v>8107.68</v>
      </c>
      <c r="N747" s="39">
        <f>Data[[#This Row],[Gross Wages]]/Data[[#This Row],[No. of Hours Worked]]</f>
        <v>48.260000000000005</v>
      </c>
    </row>
    <row r="748" spans="1:14" x14ac:dyDescent="0.3">
      <c r="A748" s="15" t="s">
        <v>127</v>
      </c>
      <c r="B748" s="17">
        <v>2025</v>
      </c>
      <c r="C748" s="11">
        <v>45992</v>
      </c>
      <c r="D748" s="42" t="s">
        <v>77</v>
      </c>
      <c r="E748" s="1" t="s">
        <v>66</v>
      </c>
      <c r="F748" s="1" t="s">
        <v>93</v>
      </c>
      <c r="G748" s="1" t="s">
        <v>68</v>
      </c>
      <c r="H748" s="2" t="s">
        <v>94</v>
      </c>
      <c r="I748" s="1" t="s">
        <v>0</v>
      </c>
      <c r="J748" s="1" t="s">
        <v>9</v>
      </c>
      <c r="K748" s="1">
        <v>1</v>
      </c>
      <c r="L748" s="1">
        <v>23</v>
      </c>
      <c r="M748" s="28">
        <v>774.84</v>
      </c>
      <c r="N748" s="39">
        <f>Data[[#This Row],[Gross Wages]]/Data[[#This Row],[No. of Hours Worked]]</f>
        <v>33.688695652173912</v>
      </c>
    </row>
    <row r="749" spans="1:14" x14ac:dyDescent="0.3">
      <c r="A749" s="15" t="s">
        <v>127</v>
      </c>
      <c r="B749" s="1">
        <v>2025</v>
      </c>
      <c r="C749" s="10">
        <v>45992</v>
      </c>
      <c r="D749" s="34" t="s">
        <v>77</v>
      </c>
      <c r="E749" s="1" t="s">
        <v>66</v>
      </c>
      <c r="F749" s="1" t="s">
        <v>93</v>
      </c>
      <c r="G749" s="1" t="s">
        <v>68</v>
      </c>
      <c r="H749" s="2" t="s">
        <v>94</v>
      </c>
      <c r="I749" s="1" t="s">
        <v>1</v>
      </c>
      <c r="J749" s="1" t="s">
        <v>9</v>
      </c>
      <c r="K749" s="1">
        <v>1</v>
      </c>
      <c r="L749" s="1">
        <v>7</v>
      </c>
      <c r="M749" s="28">
        <v>141.47</v>
      </c>
      <c r="N749" s="39">
        <f>Data[[#This Row],[Gross Wages]]/Data[[#This Row],[No. of Hours Worked]]</f>
        <v>20.21</v>
      </c>
    </row>
    <row r="750" spans="1:14" x14ac:dyDescent="0.3">
      <c r="A750" s="15" t="s">
        <v>140</v>
      </c>
      <c r="B750" s="17">
        <v>2025</v>
      </c>
      <c r="C750" s="11">
        <v>45992</v>
      </c>
      <c r="D750" s="42" t="s">
        <v>77</v>
      </c>
      <c r="E750" s="1" t="s">
        <v>66</v>
      </c>
      <c r="F750" s="1" t="s">
        <v>70</v>
      </c>
      <c r="G750" s="1" t="s">
        <v>68</v>
      </c>
      <c r="H750" s="2" t="s">
        <v>71</v>
      </c>
      <c r="I750" s="1" t="s">
        <v>0</v>
      </c>
      <c r="J750" s="1" t="s">
        <v>9</v>
      </c>
      <c r="K750" s="1">
        <v>4</v>
      </c>
      <c r="L750" s="1">
        <v>506</v>
      </c>
      <c r="M750" s="28">
        <v>14506.4</v>
      </c>
      <c r="N750" s="39">
        <f>Data[[#This Row],[Gross Wages]]/Data[[#This Row],[No. of Hours Worked]]</f>
        <v>28.668774703557311</v>
      </c>
    </row>
    <row r="751" spans="1:14" x14ac:dyDescent="0.3">
      <c r="A751" s="3" t="s">
        <v>140</v>
      </c>
      <c r="B751" s="17">
        <v>2025</v>
      </c>
      <c r="C751" s="11">
        <v>45992</v>
      </c>
      <c r="D751" s="42" t="s">
        <v>77</v>
      </c>
      <c r="E751" s="17" t="s">
        <v>66</v>
      </c>
      <c r="F751" s="17" t="s">
        <v>72</v>
      </c>
      <c r="G751" s="17" t="s">
        <v>73</v>
      </c>
      <c r="H751" s="35" t="s">
        <v>74</v>
      </c>
      <c r="I751" s="17" t="s">
        <v>0</v>
      </c>
      <c r="J751" s="17" t="s">
        <v>9</v>
      </c>
      <c r="K751" s="17">
        <v>1</v>
      </c>
      <c r="L751" s="17">
        <v>96</v>
      </c>
      <c r="M751" s="24">
        <v>2856.25</v>
      </c>
      <c r="N751" s="39">
        <f>Data[[#This Row],[Gross Wages]]/Data[[#This Row],[No. of Hours Worked]]</f>
        <v>29.752604166666668</v>
      </c>
    </row>
    <row r="752" spans="1:14" ht="15" thickBot="1" x14ac:dyDescent="0.35">
      <c r="A752" s="3" t="s">
        <v>140</v>
      </c>
      <c r="B752" s="17">
        <v>2025</v>
      </c>
      <c r="C752" s="11">
        <v>45992</v>
      </c>
      <c r="D752" s="42" t="s">
        <v>77</v>
      </c>
      <c r="E752" s="1" t="s">
        <v>66</v>
      </c>
      <c r="F752" s="1" t="s">
        <v>141</v>
      </c>
      <c r="G752" s="1" t="s">
        <v>68</v>
      </c>
      <c r="H752" s="2" t="s">
        <v>142</v>
      </c>
      <c r="I752" s="1" t="s">
        <v>0</v>
      </c>
      <c r="J752" s="1" t="s">
        <v>9</v>
      </c>
      <c r="K752" s="1">
        <v>2</v>
      </c>
      <c r="L752" s="1">
        <v>105</v>
      </c>
      <c r="M752" s="16">
        <v>3102</v>
      </c>
      <c r="N752" s="39">
        <f>Data[[#This Row],[Gross Wages]]/Data[[#This Row],[No. of Hours Worked]]</f>
        <v>29.542857142857144</v>
      </c>
    </row>
    <row r="753" spans="1:14" ht="15" thickBot="1" x14ac:dyDescent="0.35">
      <c r="A753" s="15" t="s">
        <v>112</v>
      </c>
      <c r="B753" s="17">
        <v>2025</v>
      </c>
      <c r="C753" s="11">
        <v>45992</v>
      </c>
      <c r="D753" s="42" t="s">
        <v>77</v>
      </c>
      <c r="E753" s="22" t="s">
        <v>66</v>
      </c>
      <c r="F753" s="22" t="s">
        <v>109</v>
      </c>
      <c r="G753" s="22" t="s">
        <v>68</v>
      </c>
      <c r="H753" s="37" t="s">
        <v>110</v>
      </c>
      <c r="I753" s="22" t="s">
        <v>0</v>
      </c>
      <c r="J753" s="22" t="s">
        <v>9</v>
      </c>
      <c r="K753" s="22">
        <v>2</v>
      </c>
      <c r="L753" s="22">
        <v>209</v>
      </c>
      <c r="M753" s="38">
        <v>6071.1</v>
      </c>
      <c r="N753" s="39">
        <f>Data[[#This Row],[Gross Wages]]/Data[[#This Row],[No. of Hours Worked]]</f>
        <v>29.048325358851677</v>
      </c>
    </row>
    <row r="754" spans="1:14" x14ac:dyDescent="0.3">
      <c r="A754" s="15" t="s">
        <v>112</v>
      </c>
      <c r="B754" s="17">
        <v>2025</v>
      </c>
      <c r="C754" s="11">
        <v>45992</v>
      </c>
      <c r="D754" s="42" t="s">
        <v>77</v>
      </c>
      <c r="E754" s="1" t="s">
        <v>66</v>
      </c>
      <c r="F754" s="1" t="s">
        <v>109</v>
      </c>
      <c r="G754" s="1" t="s">
        <v>68</v>
      </c>
      <c r="H754" s="2" t="s">
        <v>110</v>
      </c>
      <c r="I754" s="1" t="s">
        <v>0</v>
      </c>
      <c r="J754" s="1" t="s">
        <v>10</v>
      </c>
      <c r="K754" s="1">
        <v>2</v>
      </c>
      <c r="L754" s="1">
        <v>95</v>
      </c>
      <c r="M754" s="16">
        <v>1863.48</v>
      </c>
      <c r="N754" s="39">
        <f>Data[[#This Row],[Gross Wages]]/Data[[#This Row],[No. of Hours Worked]]</f>
        <v>19.615578947368423</v>
      </c>
    </row>
    <row r="755" spans="1:14" x14ac:dyDescent="0.3">
      <c r="A755" s="15" t="s">
        <v>112</v>
      </c>
      <c r="B755" s="17">
        <v>2025</v>
      </c>
      <c r="C755" s="11">
        <v>45992</v>
      </c>
      <c r="D755" s="42" t="s">
        <v>77</v>
      </c>
      <c r="E755" s="1" t="s">
        <v>66</v>
      </c>
      <c r="F755" s="1" t="s">
        <v>109</v>
      </c>
      <c r="G755" s="1" t="s">
        <v>68</v>
      </c>
      <c r="H755" s="2" t="s">
        <v>110</v>
      </c>
      <c r="I755" s="1" t="s">
        <v>111</v>
      </c>
      <c r="J755" s="1" t="s">
        <v>9</v>
      </c>
      <c r="K755" s="1">
        <v>2</v>
      </c>
      <c r="L755" s="1">
        <v>210</v>
      </c>
      <c r="M755" s="16">
        <v>6241.76</v>
      </c>
      <c r="N755" s="39">
        <f>Data[[#This Row],[Gross Wages]]/Data[[#This Row],[No. of Hours Worked]]</f>
        <v>29.722666666666669</v>
      </c>
    </row>
    <row r="756" spans="1:14" x14ac:dyDescent="0.3">
      <c r="A756" s="15" t="s">
        <v>48</v>
      </c>
      <c r="B756" s="17">
        <v>2025</v>
      </c>
      <c r="C756" s="11">
        <v>45992</v>
      </c>
      <c r="D756" s="42" t="s">
        <v>77</v>
      </c>
      <c r="E756" s="1" t="s">
        <v>66</v>
      </c>
      <c r="F756" s="1" t="s">
        <v>84</v>
      </c>
      <c r="G756" s="1" t="s">
        <v>68</v>
      </c>
      <c r="H756" s="2" t="s">
        <v>85</v>
      </c>
      <c r="I756" s="1" t="s">
        <v>1</v>
      </c>
      <c r="J756" s="1" t="s">
        <v>9</v>
      </c>
      <c r="K756" s="1">
        <v>1</v>
      </c>
      <c r="L756" s="1">
        <v>232</v>
      </c>
      <c r="M756" s="28">
        <v>11826</v>
      </c>
      <c r="N756" s="39">
        <f>Data[[#This Row],[Gross Wages]]/Data[[#This Row],[No. of Hours Worked]]</f>
        <v>50.974137931034484</v>
      </c>
    </row>
    <row r="757" spans="1:14" x14ac:dyDescent="0.3">
      <c r="A757" s="15" t="s">
        <v>48</v>
      </c>
      <c r="B757" s="17">
        <v>2025</v>
      </c>
      <c r="C757" s="11">
        <v>45992</v>
      </c>
      <c r="D757" s="42" t="s">
        <v>77</v>
      </c>
      <c r="E757" s="1" t="s">
        <v>66</v>
      </c>
      <c r="F757" s="1" t="s">
        <v>84</v>
      </c>
      <c r="G757" s="1" t="s">
        <v>68</v>
      </c>
      <c r="H757" s="2" t="s">
        <v>85</v>
      </c>
      <c r="I757" s="1" t="s">
        <v>0</v>
      </c>
      <c r="J757" s="1" t="s">
        <v>9</v>
      </c>
      <c r="K757" s="1">
        <v>27</v>
      </c>
      <c r="L757" s="59">
        <v>2979</v>
      </c>
      <c r="M757" s="16">
        <v>141329.07</v>
      </c>
      <c r="N757" s="39">
        <f>Data[[#This Row],[Gross Wages]]/Data[[#This Row],[No. of Hours Worked]]</f>
        <v>47.441782477341391</v>
      </c>
    </row>
    <row r="758" spans="1:14" x14ac:dyDescent="0.3">
      <c r="A758" s="15" t="s">
        <v>50</v>
      </c>
      <c r="B758" s="17">
        <v>2025</v>
      </c>
      <c r="C758" s="11">
        <v>45992</v>
      </c>
      <c r="D758" s="42" t="s">
        <v>77</v>
      </c>
      <c r="E758" s="1" t="s">
        <v>66</v>
      </c>
      <c r="F758" s="1" t="s">
        <v>100</v>
      </c>
      <c r="G758" s="1" t="s">
        <v>68</v>
      </c>
      <c r="H758" s="2" t="s">
        <v>101</v>
      </c>
      <c r="I758" s="1" t="s">
        <v>0</v>
      </c>
      <c r="J758" s="1" t="s">
        <v>9</v>
      </c>
      <c r="K758" s="1">
        <v>4</v>
      </c>
      <c r="L758" s="1">
        <v>26.45</v>
      </c>
      <c r="M758" s="16">
        <v>982.89</v>
      </c>
      <c r="N758" s="39">
        <f>Data[[#This Row],[Gross Wages]]/Data[[#This Row],[No. of Hours Worked]]</f>
        <v>37.160302457466919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Employees by Gender</vt:lpstr>
      <vt:lpstr>Hours Worked by Gender</vt:lpstr>
      <vt:lpstr>2025 Contractor</vt:lpstr>
      <vt:lpstr>Contractor</vt:lpstr>
      <vt:lpstr>Data</vt:lpstr>
      <vt:lpstr>'2025 Contractor'!Print_Area</vt:lpstr>
      <vt:lpstr>Contractor!Print_Area</vt:lpstr>
      <vt:lpstr>'Employees by Gender'!Print_Area</vt:lpstr>
      <vt:lpstr>'Hours Worked by Gender'!Print_Area</vt:lpstr>
      <vt:lpstr>'2025 Contractor'!Print_Titles</vt:lpstr>
      <vt:lpstr>Contractor!Print_Titles</vt:lpstr>
      <vt:lpstr>'Employees by Gender'!Print_Titles</vt:lpstr>
      <vt:lpstr>'Hours Worked by Gender'!Print_Titles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Bhagya Devnani</dc:creator>
  <cp:keywords/>
  <dc:description/>
  <cp:lastModifiedBy>Bhagya Devnani</cp:lastModifiedBy>
  <cp:revision/>
  <cp:lastPrinted>2026-02-11T23:37:20Z</cp:lastPrinted>
  <dcterms:created xsi:type="dcterms:W3CDTF">2025-02-19T14:40:22Z</dcterms:created>
  <dcterms:modified xsi:type="dcterms:W3CDTF">2026-02-11T23:37:28Z</dcterms:modified>
  <cp:category/>
  <cp:contentStatus/>
</cp:coreProperties>
</file>