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cny-my.sharepoint.com/personal/natalia_kovaleva_anc_com/Documents/Desktop/DACK/suny q3/q4 2025/"/>
    </mc:Choice>
  </mc:AlternateContent>
  <xr:revisionPtr revIDLastSave="24" documentId="13_ncr:1_{13347F1D-1B0D-470C-8737-D2D84312A7E2}" xr6:coauthVersionLast="47" xr6:coauthVersionMax="47" xr10:uidLastSave="{3BCAA6F3-3892-415C-BF45-6CFDD054E938}"/>
  <bookViews>
    <workbookView xWindow="-110" yWindow="-110" windowWidth="19420" windowHeight="11500" xr2:uid="{00000000-000D-0000-FFFF-FFFF00000000}"/>
  </bookViews>
  <sheets>
    <sheet name="Table 1" sheetId="1" r:id="rId1"/>
  </sheets>
  <definedNames>
    <definedName name="_xlnm.Print_Area" localSheetId="0">'Table 1'!$A$1:$E$34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9" i="1"/>
  <c r="E5" i="1"/>
  <c r="E4" i="1"/>
  <c r="E3" i="1"/>
  <c r="C39" i="1"/>
  <c r="B39" i="1"/>
  <c r="C42" i="1"/>
  <c r="C41" i="1"/>
  <c r="C40" i="1"/>
  <c r="E31" i="1"/>
  <c r="E32" i="1"/>
  <c r="C31" i="1"/>
  <c r="B31" i="1"/>
  <c r="C30" i="1"/>
  <c r="B30" i="1"/>
  <c r="D23" i="1" l="1"/>
  <c r="C23" i="1"/>
  <c r="D15" i="1"/>
  <c r="C15" i="1"/>
  <c r="D2" i="1"/>
  <c r="D6" i="1" s="1"/>
  <c r="C2" i="1"/>
  <c r="E29" i="1"/>
  <c r="E30" i="1"/>
  <c r="E28" i="1"/>
  <c r="D32" i="1"/>
  <c r="C32" i="1"/>
  <c r="B32" i="1"/>
  <c r="B25" i="1"/>
  <c r="B34" i="1" s="1"/>
  <c r="C25" i="1"/>
  <c r="C34" i="1" s="1"/>
  <c r="C6" i="1"/>
  <c r="B6" i="1"/>
  <c r="D25" i="1" l="1"/>
  <c r="D34" i="1" s="1"/>
  <c r="E2" i="1"/>
  <c r="E25" i="1"/>
  <c r="E6" i="1"/>
  <c r="E34" i="1" l="1"/>
</calcChain>
</file>

<file path=xl/sharedStrings.xml><?xml version="1.0" encoding="utf-8"?>
<sst xmlns="http://schemas.openxmlformats.org/spreadsheetml/2006/main" count="43" uniqueCount="36">
  <si>
    <r>
      <rPr>
        <b/>
        <sz val="7.5"/>
        <color rgb="FF262140"/>
        <rFont val="Century Gothic"/>
        <family val="2"/>
      </rPr>
      <t>MBE</t>
    </r>
  </si>
  <si>
    <r>
      <rPr>
        <b/>
        <sz val="7.5"/>
        <color rgb="FF262140"/>
        <rFont val="Century Gothic"/>
        <family val="2"/>
      </rPr>
      <t>VALUE</t>
    </r>
  </si>
  <si>
    <r>
      <rPr>
        <b/>
        <sz val="7.5"/>
        <color rgb="FF262140"/>
        <rFont val="Century Gothic"/>
        <family val="2"/>
      </rPr>
      <t>TOWARDS THE GOAL</t>
    </r>
  </si>
  <si>
    <r>
      <rPr>
        <b/>
        <sz val="7.5"/>
        <color rgb="FF262140"/>
        <rFont val="Century Gothic"/>
        <family val="2"/>
      </rPr>
      <t>PENDING PAYMENT</t>
    </r>
  </si>
  <si>
    <r>
      <rPr>
        <sz val="7"/>
        <color rgb="FF262140"/>
        <rFont val="Microsoft Sans Serif"/>
        <family val="2"/>
      </rPr>
      <t>Dyno Group Inc</t>
    </r>
  </si>
  <si>
    <r>
      <rPr>
        <sz val="7"/>
        <color rgb="FF262140"/>
        <rFont val="Microsoft Sans Serif"/>
        <family val="2"/>
      </rPr>
      <t>Kim Industries Inc</t>
    </r>
  </si>
  <si>
    <r>
      <rPr>
        <sz val="7"/>
        <color rgb="FF262140"/>
        <rFont val="Microsoft Sans Serif"/>
        <family val="2"/>
      </rPr>
      <t>Right Price Companies Inc</t>
    </r>
  </si>
  <si>
    <r>
      <rPr>
        <sz val="7"/>
        <color rgb="FF262140"/>
        <rFont val="Microsoft Sans Serif"/>
        <family val="2"/>
      </rPr>
      <t xml:space="preserve">The Stalwart Development Group </t>
    </r>
  </si>
  <si>
    <r>
      <rPr>
        <b/>
        <sz val="7.5"/>
        <color rgb="FF262140"/>
        <rFont val="Century Gothic"/>
        <family val="2"/>
      </rPr>
      <t>MBE Total</t>
    </r>
  </si>
  <si>
    <r>
      <rPr>
        <b/>
        <sz val="7.5"/>
        <color rgb="FF262140"/>
        <rFont val="Century Gothic"/>
        <family val="2"/>
      </rPr>
      <t>WBE</t>
    </r>
  </si>
  <si>
    <r>
      <rPr>
        <sz val="7"/>
        <color rgb="FF262140"/>
        <rFont val="Microsoft Sans Serif"/>
        <family val="2"/>
      </rPr>
      <t>A &amp; B Heritage Inc</t>
    </r>
  </si>
  <si>
    <r>
      <rPr>
        <sz val="7"/>
        <color rgb="FF262140"/>
        <rFont val="Microsoft Sans Serif"/>
        <family val="2"/>
      </rPr>
      <t>AAA Reinforcing LLC</t>
    </r>
  </si>
  <si>
    <r>
      <rPr>
        <sz val="7"/>
        <color rgb="FF262140"/>
        <rFont val="Microsoft Sans Serif"/>
        <family val="2"/>
      </rPr>
      <t>Avarus Solutions, LLC</t>
    </r>
  </si>
  <si>
    <r>
      <rPr>
        <sz val="7"/>
        <color rgb="FF262140"/>
        <rFont val="Microsoft Sans Serif"/>
        <family val="2"/>
      </rPr>
      <t>Bonded Building Materials, Inc.</t>
    </r>
  </si>
  <si>
    <r>
      <rPr>
        <sz val="7"/>
        <color rgb="FF262140"/>
        <rFont val="Microsoft Sans Serif"/>
        <family val="2"/>
      </rPr>
      <t>Commercial Material Services Inc</t>
    </r>
  </si>
  <si>
    <r>
      <rPr>
        <sz val="7"/>
        <color rgb="FF262140"/>
        <rFont val="Microsoft Sans Serif"/>
        <family val="2"/>
      </rPr>
      <t>Healthy Glass LLC</t>
    </r>
  </si>
  <si>
    <r>
      <rPr>
        <sz val="7"/>
        <color rgb="FF262140"/>
        <rFont val="Microsoft Sans Serif"/>
        <family val="2"/>
      </rPr>
      <t>Illuminating Expressions Distrib</t>
    </r>
  </si>
  <si>
    <r>
      <rPr>
        <sz val="7"/>
        <color rgb="FF262140"/>
        <rFont val="Microsoft Sans Serif"/>
        <family val="2"/>
      </rPr>
      <t>Interstate Steel Sales Inc.</t>
    </r>
  </si>
  <si>
    <r>
      <rPr>
        <sz val="7"/>
        <color rgb="FF262140"/>
        <rFont val="Microsoft Sans Serif"/>
        <family val="2"/>
      </rPr>
      <t>Ksp Painting of Syracuse, Ltd.</t>
    </r>
  </si>
  <si>
    <r>
      <rPr>
        <sz val="7"/>
        <color rgb="FF262140"/>
        <rFont val="Microsoft Sans Serif"/>
        <family val="2"/>
      </rPr>
      <t>Lupini Construction, Inc.</t>
    </r>
  </si>
  <si>
    <r>
      <rPr>
        <sz val="7"/>
        <color rgb="FF262140"/>
        <rFont val="Microsoft Sans Serif"/>
        <family val="2"/>
      </rPr>
      <t>MAC Equipment, LLC</t>
    </r>
  </si>
  <si>
    <r>
      <rPr>
        <sz val="7"/>
        <color rgb="FF262140"/>
        <rFont val="Microsoft Sans Serif"/>
        <family val="2"/>
      </rPr>
      <t>Mechanical Testing Inc.</t>
    </r>
  </si>
  <si>
    <r>
      <rPr>
        <sz val="7"/>
        <color rgb="FF262140"/>
        <rFont val="Microsoft Sans Serif"/>
        <family val="2"/>
      </rPr>
      <t>Riccelli Trucking, Inc.</t>
    </r>
  </si>
  <si>
    <r>
      <rPr>
        <sz val="7"/>
        <color rgb="FF262140"/>
        <rFont val="Microsoft Sans Serif"/>
        <family val="2"/>
      </rPr>
      <t>Rommel Fence LLC</t>
    </r>
  </si>
  <si>
    <r>
      <rPr>
        <sz val="7"/>
        <color rgb="FF262140"/>
        <rFont val="Microsoft Sans Serif"/>
        <family val="2"/>
      </rPr>
      <t>Turtle &amp; Hughes Inc.</t>
    </r>
  </si>
  <si>
    <r>
      <rPr>
        <sz val="7"/>
        <color rgb="FF262140"/>
        <rFont val="Microsoft Sans Serif"/>
        <family val="2"/>
      </rPr>
      <t>Ziske-Kraftworks Inc.</t>
    </r>
  </si>
  <si>
    <r>
      <rPr>
        <b/>
        <sz val="7.5"/>
        <color rgb="FF262140"/>
        <rFont val="Century Gothic"/>
        <family val="2"/>
      </rPr>
      <t>WBE Total</t>
    </r>
  </si>
  <si>
    <r>
      <rPr>
        <b/>
        <sz val="7.5"/>
        <color rgb="FF262140"/>
        <rFont val="Century Gothic"/>
        <family val="2"/>
      </rPr>
      <t>SDVOB</t>
    </r>
  </si>
  <si>
    <r>
      <rPr>
        <sz val="7"/>
        <color rgb="FF262140"/>
        <rFont val="Microsoft Sans Serif"/>
        <family val="2"/>
      </rPr>
      <t>Academy Energy</t>
    </r>
  </si>
  <si>
    <r>
      <rPr>
        <sz val="7"/>
        <color rgb="FF262140"/>
        <rFont val="Microsoft Sans Serif"/>
        <family val="2"/>
      </rPr>
      <t>AmBuild Supply, LLC</t>
    </r>
  </si>
  <si>
    <r>
      <rPr>
        <sz val="7"/>
        <color rgb="FF262140"/>
        <rFont val="Microsoft Sans Serif"/>
        <family val="2"/>
      </rPr>
      <t>Shamrock Portable Restrooms, LLC</t>
    </r>
  </si>
  <si>
    <r>
      <rPr>
        <sz val="7"/>
        <color rgb="FF262140"/>
        <rFont val="Microsoft Sans Serif"/>
        <family val="2"/>
      </rPr>
      <t>Tony Baird Electronics, Inc</t>
    </r>
  </si>
  <si>
    <r>
      <rPr>
        <b/>
        <sz val="7.5"/>
        <color rgb="FF262140"/>
        <rFont val="Century Gothic"/>
        <family val="2"/>
      </rPr>
      <t>SDVOB Total</t>
    </r>
  </si>
  <si>
    <t xml:space="preserve">GRAND TOTAL:            </t>
  </si>
  <si>
    <r>
      <rPr>
        <b/>
        <sz val="7.5"/>
        <color rgb="FF262140"/>
        <rFont val="Century Gothic"/>
        <family val="2"/>
      </rPr>
      <t>PAID TO DATE</t>
    </r>
    <r>
      <rPr>
        <b/>
        <sz val="7.5"/>
        <rFont val="Century Gothic"/>
        <family val="2"/>
      </rPr>
      <t xml:space="preserve"> </t>
    </r>
  </si>
  <si>
    <t>PAID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</si>
</sst>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"/>
    <numFmt numFmtId="165" formatCode="&quot;$&quot;#,##0"/>
  </numFmts>
  <fonts count="7" x14ac:knownFonts="1">
    <font>
      <sz val="10"/>
      <color rgb="FF000000"/>
      <name val="Times New Roman"/>
      <charset val="204"/>
    </font>
    <font>
      <b/>
      <sz val="7.5"/>
      <name val="Century Gothic"/>
      <family val="2"/>
    </font>
    <font>
      <sz val="7"/>
      <name val="Microsoft Sans Serif"/>
      <family val="2"/>
    </font>
    <font>
      <sz val="7"/>
      <color rgb="FF262140"/>
      <name val="Microsoft Sans Serif"/>
      <family val="2"/>
    </font>
    <font>
      <b/>
      <sz val="7.5"/>
      <color rgb="FF262140"/>
      <name val="Century Gothic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6">
    <border>
      <left/>
      <right/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3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164" fontId="3" fillId="0" borderId="1" xfId="0" applyNumberFormat="1" applyFont="1" applyBorder="1" applyAlignment="1">
      <alignment horizontal="left" vertical="top" indent="1" shrinkToFit="1"/>
    </xf>
    <xf numFmtId="164" fontId="4" fillId="2" borderId="1" xfId="0" applyNumberFormat="1" applyFont="1" applyFill="1" applyBorder="1" applyAlignment="1">
      <alignment horizontal="left" vertical="top" indent="1" shrinkToFit="1"/>
    </xf>
    <xf numFmtId="0" fontId="1" fillId="0" borderId="2" xfId="0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indent="1" shrinkToFit="1"/>
    </xf>
    <xf numFmtId="0" fontId="4" fillId="0" borderId="3" xfId="0" applyFont="1" applyBorder="1" applyAlignment="1">
      <alignment wrapText="1"/>
    </xf>
    <xf numFmtId="0" fontId="0" fillId="0" borderId="0" xfId="0" applyAlignment="1">
      <alignment horizontal="left" vertical="top" indent="1"/>
    </xf>
    <xf numFmtId="164" fontId="1" fillId="0" borderId="4" xfId="0" applyNumberFormat="1" applyFont="1" applyBorder="1" applyAlignment="1">
      <alignment horizontal="left" vertical="top" wrapText="1" indent="1"/>
    </xf>
    <xf numFmtId="164" fontId="1" fillId="0" borderId="5" xfId="0" applyNumberFormat="1" applyFont="1" applyBorder="1" applyAlignment="1">
      <alignment horizontal="left" vertical="top" wrapText="1" indent="1"/>
    </xf>
    <xf numFmtId="165" fontId="1" fillId="2" borderId="1" xfId="1" applyNumberFormat="1" applyFont="1" applyFill="1" applyBorder="1" applyAlignment="1">
      <alignment horizontal="left" vertical="top" wrapText="1" indent="1"/>
    </xf>
    <xf numFmtId="165" fontId="3" fillId="0" borderId="1" xfId="1" applyNumberFormat="1" applyFont="1" applyBorder="1" applyAlignment="1">
      <alignment horizontal="left" vertical="top" indent="1" shrinkToFit="1"/>
    </xf>
    <xf numFmtId="165" fontId="4" fillId="2" borderId="1" xfId="1" applyNumberFormat="1" applyFont="1" applyFill="1" applyBorder="1" applyAlignment="1">
      <alignment horizontal="left" vertical="top" indent="1" shrinkToFit="1"/>
    </xf>
    <xf numFmtId="165" fontId="4" fillId="0" borderId="2" xfId="1" applyNumberFormat="1" applyFont="1" applyBorder="1" applyAlignment="1">
      <alignment horizontal="left" vertical="top" indent="1" shrinkToFit="1"/>
    </xf>
    <xf numFmtId="165" fontId="0" fillId="0" borderId="0" xfId="1" applyNumberFormat="1" applyFont="1" applyAlignment="1">
      <alignment horizontal="left" vertical="top" indent="1"/>
    </xf>
    <xf numFmtId="165" fontId="1" fillId="0" borderId="4" xfId="1" applyNumberFormat="1" applyFont="1" applyBorder="1" applyAlignment="1">
      <alignment horizontal="left" vertical="top" wrapText="1" indent="1"/>
    </xf>
    <xf numFmtId="165" fontId="0" fillId="0" borderId="0" xfId="1" applyNumberFormat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10" fontId="0" fillId="0" borderId="0" xfId="2" applyNumberFormat="1" applyFont="1" applyAlignment="1">
      <alignment horizontal="left" vertical="top"/>
    </xf>
    <xf numFmtId="165" fontId="4" fillId="2" borderId="1" xfId="1" applyNumberFormat="1" applyFont="1" applyFill="1" applyBorder="1" applyAlignment="1">
      <alignment horizontal="left" vertical="top" wrapText="1" indent="1"/>
    </xf>
    <xf numFmtId="165" fontId="0" fillId="0" borderId="0" xfId="0" applyNumberFormat="1" applyAlignment="1">
      <alignment horizontal="left" vertical="top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view="pageBreakPreview" zoomScale="94" zoomScaleNormal="118" zoomScaleSheetLayoutView="94" workbookViewId="0">
      <selection activeCell="F16" sqref="F16"/>
    </sheetView>
  </sheetViews>
  <sheetFormatPr defaultRowHeight="13" x14ac:dyDescent="0.3"/>
  <cols>
    <col min="1" max="1" width="24.59765625" customWidth="1"/>
    <col min="2" max="2" width="16.09765625" customWidth="1"/>
    <col min="3" max="3" width="19.296875" customWidth="1"/>
    <col min="4" max="4" width="19.19921875" style="18" customWidth="1"/>
    <col min="5" max="5" width="18.09765625" customWidth="1"/>
  </cols>
  <sheetData>
    <row r="1" spans="1:5" ht="11.4" customHeight="1" thickBot="1" x14ac:dyDescent="0.35">
      <c r="A1" s="1" t="s">
        <v>0</v>
      </c>
      <c r="B1" s="2" t="s">
        <v>1</v>
      </c>
      <c r="C1" s="2" t="s">
        <v>2</v>
      </c>
      <c r="D1" s="12" t="s">
        <v>34</v>
      </c>
      <c r="E1" s="2" t="s">
        <v>3</v>
      </c>
    </row>
    <row r="2" spans="1:5" ht="11.4" customHeight="1" thickBot="1" x14ac:dyDescent="0.35">
      <c r="A2" s="3" t="s">
        <v>4</v>
      </c>
      <c r="B2" s="4">
        <v>1194548</v>
      </c>
      <c r="C2" s="4">
        <f>B2</f>
        <v>1194548</v>
      </c>
      <c r="D2" s="13">
        <f>C2</f>
        <v>1194548</v>
      </c>
      <c r="E2" s="4">
        <f>C2-D2</f>
        <v>0</v>
      </c>
    </row>
    <row r="3" spans="1:5" ht="11.4" customHeight="1" thickBot="1" x14ac:dyDescent="0.35">
      <c r="A3" s="3" t="s">
        <v>5</v>
      </c>
      <c r="B3" s="4">
        <v>319500</v>
      </c>
      <c r="C3" s="4">
        <v>319500</v>
      </c>
      <c r="D3" s="13">
        <v>303988</v>
      </c>
      <c r="E3" s="4">
        <f>B3-D3</f>
        <v>15512</v>
      </c>
    </row>
    <row r="4" spans="1:5" ht="11.4" customHeight="1" thickBot="1" x14ac:dyDescent="0.35">
      <c r="A4" s="3" t="s">
        <v>6</v>
      </c>
      <c r="B4" s="4">
        <v>250000</v>
      </c>
      <c r="C4" s="4">
        <v>150000</v>
      </c>
      <c r="D4" s="13">
        <v>0</v>
      </c>
      <c r="E4" s="4">
        <f>B4-D4</f>
        <v>250000</v>
      </c>
    </row>
    <row r="5" spans="1:5" ht="11.4" customHeight="1" thickBot="1" x14ac:dyDescent="0.35">
      <c r="A5" s="3" t="s">
        <v>7</v>
      </c>
      <c r="B5" s="4">
        <v>2579155</v>
      </c>
      <c r="C5" s="4">
        <v>2579155</v>
      </c>
      <c r="D5" s="13">
        <v>2551613</v>
      </c>
      <c r="E5" s="4">
        <f>B5-D5</f>
        <v>27542</v>
      </c>
    </row>
    <row r="6" spans="1:5" ht="11.4" customHeight="1" thickBot="1" x14ac:dyDescent="0.35">
      <c r="A6" s="1" t="s">
        <v>8</v>
      </c>
      <c r="B6" s="5">
        <f>SUM(B2:B5)</f>
        <v>4343203</v>
      </c>
      <c r="C6" s="5">
        <f>SUM(C2:C5)</f>
        <v>4243203</v>
      </c>
      <c r="D6" s="14">
        <f>SUM(D2:D5)</f>
        <v>4050149</v>
      </c>
      <c r="E6" s="5">
        <f>SUM(E2:E5)</f>
        <v>293054</v>
      </c>
    </row>
    <row r="7" spans="1:5" ht="11.4" customHeight="1" thickBot="1" x14ac:dyDescent="0.35">
      <c r="A7" s="6"/>
      <c r="B7" s="7"/>
      <c r="C7" s="7"/>
      <c r="D7" s="15"/>
      <c r="E7" s="7"/>
    </row>
    <row r="8" spans="1:5" ht="11.4" customHeight="1" thickBot="1" x14ac:dyDescent="0.35">
      <c r="A8" s="1" t="s">
        <v>9</v>
      </c>
      <c r="B8" s="2" t="s">
        <v>1</v>
      </c>
      <c r="C8" s="2" t="s">
        <v>2</v>
      </c>
      <c r="D8" s="12" t="s">
        <v>34</v>
      </c>
      <c r="E8" s="2" t="s">
        <v>3</v>
      </c>
    </row>
    <row r="9" spans="1:5" ht="11.4" customHeight="1" thickBot="1" x14ac:dyDescent="0.35">
      <c r="A9" s="3" t="s">
        <v>10</v>
      </c>
      <c r="B9" s="4">
        <v>8298</v>
      </c>
      <c r="C9" s="4">
        <v>8298</v>
      </c>
      <c r="D9" s="13">
        <v>0</v>
      </c>
      <c r="E9" s="4">
        <f>B9-D9</f>
        <v>8298</v>
      </c>
    </row>
    <row r="10" spans="1:5" ht="11.4" customHeight="1" thickBot="1" x14ac:dyDescent="0.35">
      <c r="A10" s="3" t="s">
        <v>11</v>
      </c>
      <c r="B10" s="4">
        <v>230000</v>
      </c>
      <c r="C10" s="4">
        <v>230000</v>
      </c>
      <c r="D10" s="13">
        <v>195980</v>
      </c>
      <c r="E10" s="4">
        <f t="shared" ref="E10:E24" si="0">B10-D10</f>
        <v>34020</v>
      </c>
    </row>
    <row r="11" spans="1:5" ht="11.4" customHeight="1" thickBot="1" x14ac:dyDescent="0.35">
      <c r="A11" s="3" t="s">
        <v>12</v>
      </c>
      <c r="B11" s="4">
        <v>420315</v>
      </c>
      <c r="C11" s="4">
        <v>420315</v>
      </c>
      <c r="D11" s="13">
        <v>398002</v>
      </c>
      <c r="E11" s="4">
        <f t="shared" si="0"/>
        <v>22313</v>
      </c>
    </row>
    <row r="12" spans="1:5" ht="11.4" customHeight="1" thickBot="1" x14ac:dyDescent="0.35">
      <c r="A12" s="3" t="s">
        <v>13</v>
      </c>
      <c r="B12" s="4">
        <v>280000</v>
      </c>
      <c r="C12" s="4">
        <v>168000</v>
      </c>
      <c r="D12" s="13">
        <v>168000</v>
      </c>
      <c r="E12" s="4">
        <f t="shared" si="0"/>
        <v>112000</v>
      </c>
    </row>
    <row r="13" spans="1:5" ht="11.4" customHeight="1" thickBot="1" x14ac:dyDescent="0.35">
      <c r="A13" s="3" t="s">
        <v>14</v>
      </c>
      <c r="B13" s="4">
        <v>683000</v>
      </c>
      <c r="C13" s="4">
        <v>683000</v>
      </c>
      <c r="D13" s="13">
        <v>0</v>
      </c>
      <c r="E13" s="4">
        <f t="shared" si="0"/>
        <v>683000</v>
      </c>
    </row>
    <row r="14" spans="1:5" ht="11.4" customHeight="1" thickBot="1" x14ac:dyDescent="0.35">
      <c r="A14" s="3" t="s">
        <v>15</v>
      </c>
      <c r="B14" s="4">
        <v>6500</v>
      </c>
      <c r="C14" s="4">
        <v>6500</v>
      </c>
      <c r="D14" s="13">
        <v>0</v>
      </c>
      <c r="E14" s="4">
        <f t="shared" si="0"/>
        <v>6500</v>
      </c>
    </row>
    <row r="15" spans="1:5" ht="11.4" customHeight="1" thickBot="1" x14ac:dyDescent="0.35">
      <c r="A15" s="3" t="s">
        <v>16</v>
      </c>
      <c r="B15" s="4">
        <v>576474</v>
      </c>
      <c r="C15" s="4">
        <f>0.6*B15</f>
        <v>345884.39999999997</v>
      </c>
      <c r="D15" s="13">
        <f>C15</f>
        <v>345884.39999999997</v>
      </c>
      <c r="E15" s="4">
        <f t="shared" si="0"/>
        <v>230589.60000000003</v>
      </c>
    </row>
    <row r="16" spans="1:5" ht="11.4" customHeight="1" thickBot="1" x14ac:dyDescent="0.35">
      <c r="A16" s="3" t="s">
        <v>17</v>
      </c>
      <c r="B16" s="4">
        <v>50000</v>
      </c>
      <c r="C16" s="4">
        <v>30000</v>
      </c>
      <c r="D16" s="13">
        <v>29134</v>
      </c>
      <c r="E16" s="4">
        <f t="shared" si="0"/>
        <v>20866</v>
      </c>
    </row>
    <row r="17" spans="1:5" ht="11.4" customHeight="1" thickBot="1" x14ac:dyDescent="0.35">
      <c r="A17" s="3" t="s">
        <v>18</v>
      </c>
      <c r="B17" s="4">
        <v>504000</v>
      </c>
      <c r="C17" s="4">
        <v>504000</v>
      </c>
      <c r="D17" s="13">
        <v>263801</v>
      </c>
      <c r="E17" s="4">
        <f t="shared" si="0"/>
        <v>240199</v>
      </c>
    </row>
    <row r="18" spans="1:5" ht="11.4" customHeight="1" thickBot="1" x14ac:dyDescent="0.35">
      <c r="A18" s="3" t="s">
        <v>19</v>
      </c>
      <c r="B18" s="4">
        <v>2019000</v>
      </c>
      <c r="C18" s="4">
        <v>2019000</v>
      </c>
      <c r="D18" s="13">
        <v>1921526</v>
      </c>
      <c r="E18" s="4">
        <f t="shared" si="0"/>
        <v>97474</v>
      </c>
    </row>
    <row r="19" spans="1:5" ht="11.4" customHeight="1" thickBot="1" x14ac:dyDescent="0.35">
      <c r="A19" s="3" t="s">
        <v>20</v>
      </c>
      <c r="B19" s="4">
        <v>45000</v>
      </c>
      <c r="C19" s="4">
        <v>45000</v>
      </c>
      <c r="D19" s="13">
        <v>0</v>
      </c>
      <c r="E19" s="4">
        <f t="shared" si="0"/>
        <v>45000</v>
      </c>
    </row>
    <row r="20" spans="1:5" ht="11.4" customHeight="1" thickBot="1" x14ac:dyDescent="0.35">
      <c r="A20" s="3" t="s">
        <v>21</v>
      </c>
      <c r="B20" s="4">
        <v>62900</v>
      </c>
      <c r="C20" s="4">
        <v>62900</v>
      </c>
      <c r="D20" s="13">
        <v>0</v>
      </c>
      <c r="E20" s="4">
        <f t="shared" si="0"/>
        <v>62900</v>
      </c>
    </row>
    <row r="21" spans="1:5" ht="11.4" customHeight="1" thickBot="1" x14ac:dyDescent="0.35">
      <c r="A21" s="3" t="s">
        <v>22</v>
      </c>
      <c r="B21" s="4">
        <v>80142</v>
      </c>
      <c r="C21" s="13">
        <v>80142</v>
      </c>
      <c r="D21" s="13">
        <v>80142</v>
      </c>
      <c r="E21" s="4">
        <f t="shared" si="0"/>
        <v>0</v>
      </c>
    </row>
    <row r="22" spans="1:5" ht="11.4" customHeight="1" thickBot="1" x14ac:dyDescent="0.35">
      <c r="A22" s="3" t="s">
        <v>23</v>
      </c>
      <c r="B22" s="4">
        <v>41000</v>
      </c>
      <c r="C22" s="4">
        <v>41000</v>
      </c>
      <c r="D22" s="13">
        <v>35227</v>
      </c>
      <c r="E22" s="4">
        <f t="shared" si="0"/>
        <v>5773</v>
      </c>
    </row>
    <row r="23" spans="1:5" ht="11.4" customHeight="1" thickBot="1" x14ac:dyDescent="0.35">
      <c r="A23" s="3" t="s">
        <v>24</v>
      </c>
      <c r="B23" s="4">
        <v>385391</v>
      </c>
      <c r="C23" s="4">
        <f>0.6*B23</f>
        <v>231234.6</v>
      </c>
      <c r="D23" s="13">
        <f>C23</f>
        <v>231234.6</v>
      </c>
      <c r="E23" s="4">
        <f t="shared" si="0"/>
        <v>154156.4</v>
      </c>
    </row>
    <row r="24" spans="1:5" ht="11.4" customHeight="1" thickBot="1" x14ac:dyDescent="0.35">
      <c r="A24" s="3" t="s">
        <v>25</v>
      </c>
      <c r="B24" s="4">
        <v>173514</v>
      </c>
      <c r="C24" s="4">
        <v>173514</v>
      </c>
      <c r="D24" s="13">
        <v>0</v>
      </c>
      <c r="E24" s="4">
        <f t="shared" si="0"/>
        <v>173514</v>
      </c>
    </row>
    <row r="25" spans="1:5" ht="11.4" customHeight="1" thickBot="1" x14ac:dyDescent="0.35">
      <c r="A25" s="1" t="s">
        <v>26</v>
      </c>
      <c r="B25" s="5">
        <f>SUM(B9:B24)</f>
        <v>5565534</v>
      </c>
      <c r="C25" s="5">
        <f>SUM(C9:C24)</f>
        <v>5048788</v>
      </c>
      <c r="D25" s="14">
        <f>SUM(D9:D24)</f>
        <v>3668931</v>
      </c>
      <c r="E25" s="5">
        <f>SUM(E9:E24)</f>
        <v>1896603</v>
      </c>
    </row>
    <row r="26" spans="1:5" ht="11.4" customHeight="1" thickBot="1" x14ac:dyDescent="0.35">
      <c r="A26" s="6"/>
      <c r="B26" s="7"/>
      <c r="C26" s="7"/>
      <c r="D26" s="15"/>
      <c r="E26" s="7"/>
    </row>
    <row r="27" spans="1:5" ht="11.4" customHeight="1" thickBot="1" x14ac:dyDescent="0.35">
      <c r="A27" s="1" t="s">
        <v>27</v>
      </c>
      <c r="B27" s="2" t="s">
        <v>1</v>
      </c>
      <c r="C27" s="2" t="s">
        <v>2</v>
      </c>
      <c r="D27" s="21" t="s">
        <v>35</v>
      </c>
      <c r="E27" s="2" t="s">
        <v>3</v>
      </c>
    </row>
    <row r="28" spans="1:5" ht="11.4" customHeight="1" thickBot="1" x14ac:dyDescent="0.35">
      <c r="A28" s="3" t="s">
        <v>28</v>
      </c>
      <c r="B28" s="4">
        <v>60000</v>
      </c>
      <c r="C28" s="4">
        <v>60000</v>
      </c>
      <c r="D28" s="13">
        <v>0</v>
      </c>
      <c r="E28" s="4">
        <f t="shared" ref="E28:E30" si="1">C28-D28</f>
        <v>60000</v>
      </c>
    </row>
    <row r="29" spans="1:5" ht="11.4" customHeight="1" thickBot="1" x14ac:dyDescent="0.35">
      <c r="A29" s="3" t="s">
        <v>29</v>
      </c>
      <c r="B29" s="4">
        <v>2724</v>
      </c>
      <c r="C29" s="4">
        <v>2724</v>
      </c>
      <c r="D29" s="13">
        <v>2723</v>
      </c>
      <c r="E29" s="4">
        <f t="shared" si="1"/>
        <v>1</v>
      </c>
    </row>
    <row r="30" spans="1:5" ht="11.4" customHeight="1" thickBot="1" x14ac:dyDescent="0.35">
      <c r="A30" s="3" t="s">
        <v>30</v>
      </c>
      <c r="B30" s="4">
        <f>D30</f>
        <v>19415</v>
      </c>
      <c r="C30" s="4">
        <f>D30</f>
        <v>19415</v>
      </c>
      <c r="D30" s="13">
        <v>19415</v>
      </c>
      <c r="E30" s="4">
        <f t="shared" si="1"/>
        <v>0</v>
      </c>
    </row>
    <row r="31" spans="1:5" ht="11.4" customHeight="1" thickBot="1" x14ac:dyDescent="0.35">
      <c r="A31" s="3" t="s">
        <v>31</v>
      </c>
      <c r="B31" s="4">
        <f>D31</f>
        <v>140304</v>
      </c>
      <c r="C31" s="4">
        <f>D31</f>
        <v>140304</v>
      </c>
      <c r="D31" s="13">
        <v>140304</v>
      </c>
      <c r="E31" s="4">
        <f>C31-D31</f>
        <v>0</v>
      </c>
    </row>
    <row r="32" spans="1:5" ht="11.4" customHeight="1" thickBot="1" x14ac:dyDescent="0.35">
      <c r="A32" s="1" t="s">
        <v>32</v>
      </c>
      <c r="B32" s="5">
        <f>SUM(B28:B31)</f>
        <v>222443</v>
      </c>
      <c r="C32" s="5">
        <f>SUM(C28:C31)</f>
        <v>222443</v>
      </c>
      <c r="D32" s="14">
        <f>SUM(D28:D31)</f>
        <v>162442</v>
      </c>
      <c r="E32" s="5">
        <f>SUM(E28:E31)</f>
        <v>60001</v>
      </c>
    </row>
    <row r="33" spans="1:5" ht="11.4" customHeight="1" thickBot="1" x14ac:dyDescent="0.35">
      <c r="B33" s="9"/>
      <c r="C33" s="9"/>
      <c r="D33" s="16"/>
      <c r="E33" s="9"/>
    </row>
    <row r="34" spans="1:5" ht="13.5" thickBot="1" x14ac:dyDescent="0.25">
      <c r="A34" s="8" t="s">
        <v>33</v>
      </c>
      <c r="B34" s="10">
        <f>B32+B25+B6</f>
        <v>10131180</v>
      </c>
      <c r="C34" s="10">
        <f t="shared" ref="C34:D34" si="2">C32+C25+C6</f>
        <v>9514434</v>
      </c>
      <c r="D34" s="17">
        <f t="shared" si="2"/>
        <v>7881522</v>
      </c>
      <c r="E34" s="11">
        <f>E32+E25+E6</f>
        <v>2249658</v>
      </c>
    </row>
    <row r="36" spans="1:5" x14ac:dyDescent="0.3">
      <c r="D36" s="22"/>
    </row>
    <row r="37" spans="1:5" x14ac:dyDescent="0.3">
      <c r="B37">
        <v>47339000</v>
      </c>
      <c r="C37" s="19"/>
    </row>
    <row r="38" spans="1:5" x14ac:dyDescent="0.3">
      <c r="B38">
        <v>4355321</v>
      </c>
    </row>
    <row r="39" spans="1:5" x14ac:dyDescent="0.3">
      <c r="A39">
        <v>51694321</v>
      </c>
      <c r="B39">
        <f>SUM(B37:B38)</f>
        <v>51694321</v>
      </c>
      <c r="C39" s="19">
        <f>B39-C34</f>
        <v>42179887</v>
      </c>
    </row>
    <row r="40" spans="1:5" x14ac:dyDescent="0.3">
      <c r="B40">
        <v>4050149</v>
      </c>
      <c r="C40" s="20">
        <f>B40/B37</f>
        <v>8.5556285515114391E-2</v>
      </c>
    </row>
    <row r="41" spans="1:5" x14ac:dyDescent="0.3">
      <c r="B41">
        <v>3668931</v>
      </c>
      <c r="C41" s="20">
        <f>B41/B37</f>
        <v>7.7503348190709559E-2</v>
      </c>
    </row>
    <row r="42" spans="1:5" x14ac:dyDescent="0.3">
      <c r="B42">
        <v>162442</v>
      </c>
      <c r="C42" s="20">
        <f>B42/B37</f>
        <v>3.4314624305540886E-3</v>
      </c>
      <c r="D42"/>
    </row>
    <row r="43" spans="1:5" x14ac:dyDescent="0.3">
      <c r="D43"/>
    </row>
  </sheetData>
  <pageMargins left="0.86" right="0.83" top="0.75" bottom="0.75" header="0.3" footer="0.3"/>
  <pageSetup scale="9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Natlia Kovaleva</dc:creator>
  <cp:lastModifiedBy>Natalia Kovaleva</cp:lastModifiedBy>
  <cp:lastPrinted>2026-02-17T15:47:37Z</cp:lastPrinted>
  <dcterms:created xsi:type="dcterms:W3CDTF">2025-05-08T17:44:10Z</dcterms:created>
  <dcterms:modified xsi:type="dcterms:W3CDTF">2026-02-17T15:47:44Z</dcterms:modified>
</cp:coreProperties>
</file>